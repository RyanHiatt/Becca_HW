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osu\Teaching\2021\SP\MAE3403\Exam3\Week13\"/>
    </mc:Choice>
  </mc:AlternateContent>
  <xr:revisionPtr revIDLastSave="0" documentId="13_ncr:1_{6D92F234-D552-4008-9B4D-452366004B94}" xr6:coauthVersionLast="46" xr6:coauthVersionMax="46" xr10:uidLastSave="{00000000-0000-0000-0000-000000000000}"/>
  <bookViews>
    <workbookView xWindow="-110" yWindow="-110" windowWidth="38620" windowHeight="21220" xr2:uid="{00000000-000D-0000-FFFF-FFFF00000000}"/>
  </bookViews>
  <sheets>
    <sheet name="Sheet1" sheetId="1" r:id="rId1"/>
  </sheets>
  <definedNames>
    <definedName name="Lambda">Sheet1!$D$2</definedName>
    <definedName name="Objective">Sheet1!$D$4</definedName>
    <definedName name="Prefactor">Sheet1!$D$3</definedName>
    <definedName name="RandFac">Sheet1!$D$1</definedName>
    <definedName name="solver_adj" localSheetId="0" hidden="1">Sheet1!$D$2,Sheet1!$D$3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Sheet1!$D$3</definedName>
    <definedName name="solver_lhs2" localSheetId="0" hidden="1">Sheet1!$D$3</definedName>
    <definedName name="solver_lhs3" localSheetId="0" hidden="1">Sheet1!$D$3</definedName>
    <definedName name="solver_lhs4" localSheetId="0" hidden="1">Sheet1!$D$3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hs1" localSheetId="0" hidden="1">1.8</definedName>
    <definedName name="solver_rhs2" localSheetId="0" hidden="1">1.8</definedName>
    <definedName name="solver_rhs3" localSheetId="0" hidden="1">1.8</definedName>
    <definedName name="solver_rhs4" localSheetId="0" hidden="1">1.8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2" i="1"/>
  <c r="H5" i="1"/>
  <c r="I5" i="1" s="1"/>
  <c r="J5" i="1" s="1"/>
  <c r="K5" i="1" s="1"/>
  <c r="L5" i="1" s="1"/>
  <c r="F7" i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6" i="1"/>
  <c r="D9" i="1" l="1"/>
  <c r="D8" i="1"/>
  <c r="N5" i="1"/>
  <c r="O5" i="1" s="1"/>
  <c r="P5" i="1" s="1"/>
  <c r="Q5" i="1" s="1"/>
  <c r="M5" i="1"/>
  <c r="D7" i="1"/>
  <c r="D45" i="1"/>
  <c r="D53" i="1"/>
  <c r="D37" i="1"/>
  <c r="D6" i="1"/>
  <c r="D49" i="1"/>
  <c r="D41" i="1"/>
  <c r="D29" i="1"/>
  <c r="D55" i="1"/>
  <c r="D51" i="1"/>
  <c r="D47" i="1"/>
  <c r="D43" i="1"/>
  <c r="D39" i="1"/>
  <c r="D33" i="1"/>
  <c r="D25" i="1"/>
  <c r="D17" i="1"/>
  <c r="D21" i="1"/>
  <c r="D13" i="1"/>
  <c r="D35" i="1"/>
  <c r="D31" i="1"/>
  <c r="D27" i="1"/>
  <c r="D23" i="1"/>
  <c r="D19" i="1"/>
  <c r="D15" i="1"/>
  <c r="D11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E41" i="1" l="1"/>
  <c r="E8" i="1"/>
  <c r="E9" i="1"/>
  <c r="E48" i="1"/>
  <c r="E22" i="1"/>
  <c r="E14" i="1"/>
  <c r="E31" i="1"/>
  <c r="E17" i="1"/>
  <c r="E47" i="1"/>
  <c r="E10" i="1"/>
  <c r="E53" i="1"/>
  <c r="E40" i="1"/>
  <c r="E28" i="1"/>
  <c r="E38" i="1"/>
  <c r="E7" i="1"/>
  <c r="E33" i="1"/>
  <c r="E34" i="1"/>
  <c r="E16" i="1"/>
  <c r="E43" i="1"/>
  <c r="E11" i="1"/>
  <c r="E49" i="1"/>
  <c r="E23" i="1"/>
  <c r="E45" i="1"/>
  <c r="E50" i="1"/>
  <c r="E21" i="1"/>
  <c r="E55" i="1"/>
  <c r="E42" i="1"/>
  <c r="E36" i="1"/>
  <c r="E27" i="1"/>
  <c r="E26" i="1"/>
  <c r="E39" i="1"/>
  <c r="E54" i="1"/>
  <c r="E52" i="1"/>
  <c r="E24" i="1"/>
  <c r="E30" i="1"/>
  <c r="E56" i="1"/>
  <c r="E18" i="1"/>
  <c r="E25" i="1"/>
  <c r="E15" i="1"/>
  <c r="E32" i="1"/>
  <c r="E51" i="1"/>
  <c r="E20" i="1"/>
  <c r="E44" i="1"/>
  <c r="E35" i="1"/>
  <c r="E13" i="1"/>
  <c r="E46" i="1"/>
  <c r="E37" i="1"/>
  <c r="E29" i="1"/>
  <c r="E12" i="1"/>
  <c r="E6" i="1"/>
  <c r="E19" i="1"/>
  <c r="D4" i="1" l="1"/>
</calcChain>
</file>

<file path=xl/sharedStrings.xml><?xml version="1.0" encoding="utf-8"?>
<sst xmlns="http://schemas.openxmlformats.org/spreadsheetml/2006/main" count="11" uniqueCount="10">
  <si>
    <t>Data</t>
  </si>
  <si>
    <t>x</t>
  </si>
  <si>
    <t>RandFac</t>
  </si>
  <si>
    <t>Prefactor</t>
  </si>
  <si>
    <t>ObjectiveFn</t>
  </si>
  <si>
    <t>DiffSq</t>
  </si>
  <si>
    <t>Fit</t>
  </si>
  <si>
    <t xml:space="preserve">Prefactor </t>
  </si>
  <si>
    <t>Lambda</t>
  </si>
  <si>
    <t>b*exp(x/lam)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</si>
</sst>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">
    <dxf>
      <fill>
        <patternFill patternType="lightUp">
          <fgColor rgb="FF00B050"/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Sheet1!$A$6:$A$56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Sheet1!$C$6:$C$56</c:f>
              <c:numCache>
                <c:formatCode>0.000</c:formatCode>
                <c:ptCount val="51"/>
                <c:pt idx="0">
                  <c:v>2.63</c:v>
                </c:pt>
                <c:pt idx="1">
                  <c:v>1.1116215483847764</c:v>
                </c:pt>
                <c:pt idx="2">
                  <c:v>2.9865741353499171</c:v>
                </c:pt>
                <c:pt idx="3">
                  <c:v>2.0749937031587513</c:v>
                </c:pt>
                <c:pt idx="4">
                  <c:v>2.9470217419836207</c:v>
                </c:pt>
                <c:pt idx="5">
                  <c:v>2.8728055163203399</c:v>
                </c:pt>
                <c:pt idx="6">
                  <c:v>3.4224983006428094</c:v>
                </c:pt>
                <c:pt idx="7">
                  <c:v>1.9962596246748738</c:v>
                </c:pt>
                <c:pt idx="8">
                  <c:v>3.3742555286719145</c:v>
                </c:pt>
                <c:pt idx="9">
                  <c:v>3.3266588291206802</c:v>
                </c:pt>
                <c:pt idx="10">
                  <c:v>2.0136493952825409</c:v>
                </c:pt>
                <c:pt idx="11">
                  <c:v>3.0654144370226719</c:v>
                </c:pt>
                <c:pt idx="12">
                  <c:v>3.4521488043857871</c:v>
                </c:pt>
                <c:pt idx="13">
                  <c:v>3.794055299397773</c:v>
                </c:pt>
                <c:pt idx="14">
                  <c:v>3.4913450005922027</c:v>
                </c:pt>
                <c:pt idx="15">
                  <c:v>4.2642376007810174</c:v>
                </c:pt>
                <c:pt idx="16">
                  <c:v>2.7929617586099029</c:v>
                </c:pt>
                <c:pt idx="17">
                  <c:v>4.0477554644608951</c:v>
                </c:pt>
                <c:pt idx="18">
                  <c:v>4.0288664212877752</c:v>
                </c:pt>
                <c:pt idx="19">
                  <c:v>4.226552440993637</c:v>
                </c:pt>
                <c:pt idx="20">
                  <c:v>5.191081856984936</c:v>
                </c:pt>
                <c:pt idx="21">
                  <c:v>4.7727339535621827</c:v>
                </c:pt>
                <c:pt idx="22">
                  <c:v>5.2217994128344198</c:v>
                </c:pt>
                <c:pt idx="23">
                  <c:v>4.2785807798725957</c:v>
                </c:pt>
                <c:pt idx="24">
                  <c:v>4.4833929468462355</c:v>
                </c:pt>
                <c:pt idx="25">
                  <c:v>6.3765636569180906</c:v>
                </c:pt>
                <c:pt idx="26">
                  <c:v>5.2684340287031199</c:v>
                </c:pt>
                <c:pt idx="27">
                  <c:v>6.529359102131048</c:v>
                </c:pt>
                <c:pt idx="28">
                  <c:v>5.7597084065860047</c:v>
                </c:pt>
                <c:pt idx="29">
                  <c:v>6.169866552232369</c:v>
                </c:pt>
                <c:pt idx="30">
                  <c:v>5.7402338454730941</c:v>
                </c:pt>
                <c:pt idx="31">
                  <c:v>7.7612269295253506</c:v>
                </c:pt>
                <c:pt idx="32">
                  <c:v>7.0232794511385634</c:v>
                </c:pt>
                <c:pt idx="33">
                  <c:v>6.4968427545217251</c:v>
                </c:pt>
                <c:pt idx="34">
                  <c:v>7.4323866035904294</c:v>
                </c:pt>
                <c:pt idx="35">
                  <c:v>7.1503999336893491</c:v>
                </c:pt>
                <c:pt idx="36">
                  <c:v>8.801391633993104</c:v>
                </c:pt>
                <c:pt idx="37">
                  <c:v>9.7758913618375143</c:v>
                </c:pt>
                <c:pt idx="38">
                  <c:v>9.2844503902843183</c:v>
                </c:pt>
                <c:pt idx="39">
                  <c:v>10.167642490275709</c:v>
                </c:pt>
                <c:pt idx="40">
                  <c:v>9.1460648487902301</c:v>
                </c:pt>
                <c:pt idx="41">
                  <c:v>9.460339024469361</c:v>
                </c:pt>
                <c:pt idx="42">
                  <c:v>10.621111942243949</c:v>
                </c:pt>
                <c:pt idx="43">
                  <c:v>10.689056928552107</c:v>
                </c:pt>
                <c:pt idx="44">
                  <c:v>10.774874788805178</c:v>
                </c:pt>
                <c:pt idx="45">
                  <c:v>13.089294928825893</c:v>
                </c:pt>
                <c:pt idx="46">
                  <c:v>12.203076522053314</c:v>
                </c:pt>
                <c:pt idx="47">
                  <c:v>13.767009724382296</c:v>
                </c:pt>
                <c:pt idx="48">
                  <c:v>13.741916938581499</c:v>
                </c:pt>
                <c:pt idx="49">
                  <c:v>14.268654130313266</c:v>
                </c:pt>
                <c:pt idx="50">
                  <c:v>14.588112197861301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4F-4C86-B944-89D974DDEA3E}"/>
            </c:ext>
          </c:extLst>
        </c:ser>
        <c:ser>
          <c:idx val="1"/>
          <c:order val="1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Sheet1!$A$6:$A$56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Sheet1!$D$6:$D$56</c:f>
              <c:numCache>
                <c:formatCode>General</c:formatCode>
                <c:ptCount val="51"/>
                <c:pt idx="0">
                  <c:v>2.0999999999999979</c:v>
                </c:pt>
                <c:pt idx="1">
                  <c:v>2.179236054711942</c:v>
                </c:pt>
                <c:pt idx="2">
                  <c:v>2.261461801026893</c:v>
                </c:pt>
                <c:pt idx="3">
                  <c:v>2.3467900443579115</c:v>
                </c:pt>
                <c:pt idx="4">
                  <c:v>2.4353378464303828</c:v>
                </c:pt>
                <c:pt idx="5">
                  <c:v>2.5272266858788717</c:v>
                </c:pt>
                <c:pt idx="6">
                  <c:v>2.6225826249035302</c:v>
                </c:pt>
                <c:pt idx="7">
                  <c:v>2.721536482214697</c:v>
                </c:pt>
                <c:pt idx="8">
                  <c:v>2.8242240125029427</c:v>
                </c:pt>
                <c:pt idx="9">
                  <c:v>2.9307860926807856</c:v>
                </c:pt>
                <c:pt idx="10">
                  <c:v>3.0413689151515757</c:v>
                </c:pt>
                <c:pt idx="11">
                  <c:v>3.1561241883706983</c:v>
                </c:pt>
                <c:pt idx="12">
                  <c:v>3.275209344974237</c:v>
                </c:pt>
                <c:pt idx="13">
                  <c:v>3.3987877577606413</c:v>
                </c:pt>
                <c:pt idx="14">
                  <c:v>3.5270289638216932</c:v>
                </c:pt>
                <c:pt idx="15">
                  <c:v>3.6601088971302587</c:v>
                </c:pt>
                <c:pt idx="16">
                  <c:v>3.7982101299039193</c:v>
                </c:pt>
                <c:pt idx="17">
                  <c:v>3.941522123075599</c:v>
                </c:pt>
                <c:pt idx="18">
                  <c:v>4.0902414862148166</c:v>
                </c:pt>
                <c:pt idx="19">
                  <c:v>4.2445722472561407</c:v>
                </c:pt>
                <c:pt idx="20">
                  <c:v>4.404726132404897</c:v>
                </c:pt>
                <c:pt idx="21">
                  <c:v>4.5709228566041187</c:v>
                </c:pt>
                <c:pt idx="22">
                  <c:v>4.743390424961242</c:v>
                </c:pt>
                <c:pt idx="23">
                  <c:v>4.9223654455480723</c:v>
                </c:pt>
                <c:pt idx="24">
                  <c:v>5.108093454003134</c:v>
                </c:pt>
                <c:pt idx="25">
                  <c:v>5.3008292503817609</c:v>
                </c:pt>
                <c:pt idx="26">
                  <c:v>5.5008372487160102</c:v>
                </c:pt>
                <c:pt idx="27">
                  <c:v>5.7083918397639914</c:v>
                </c:pt>
                <c:pt idx="28">
                  <c:v>5.9237777674462571</c:v>
                </c:pt>
                <c:pt idx="29">
                  <c:v>6.1472905194856713</c:v>
                </c:pt>
                <c:pt idx="30">
                  <c:v>6.3792367327867101</c:v>
                </c:pt>
                <c:pt idx="31">
                  <c:v>6.6199346141102975</c:v>
                </c:pt>
                <c:pt idx="32">
                  <c:v>6.8697143766213147</c:v>
                </c:pt>
                <c:pt idx="33">
                  <c:v>7.1289186929076935</c:v>
                </c:pt>
                <c:pt idx="34">
                  <c:v>7.3979031650925684</c:v>
                </c:pt>
                <c:pt idx="35">
                  <c:v>7.6770368126844444</c:v>
                </c:pt>
                <c:pt idx="36">
                  <c:v>7.9667025788346697</c:v>
                </c:pt>
                <c:pt idx="37">
                  <c:v>8.267297855696734</c:v>
                </c:pt>
                <c:pt idx="38">
                  <c:v>8.5792350296081263</c:v>
                </c:pt>
                <c:pt idx="39">
                  <c:v>8.9029420468427265</c:v>
                </c:pt>
                <c:pt idx="40">
                  <c:v>9.23886300070982</c:v>
                </c:pt>
                <c:pt idx="41">
                  <c:v>9.5874587408052481</c:v>
                </c:pt>
                <c:pt idx="42">
                  <c:v>9.9492075052504667</c:v>
                </c:pt>
                <c:pt idx="43">
                  <c:v>10.324605576786899</c:v>
                </c:pt>
                <c:pt idx="44">
                  <c:v>10.714167963625723</c:v>
                </c:pt>
                <c:pt idx="45">
                  <c:v>11.11842910598706</c:v>
                </c:pt>
                <c:pt idx="46">
                  <c:v>11.537943609297947</c:v>
                </c:pt>
                <c:pt idx="47">
                  <c:v>11.973287005054926</c:v>
                </c:pt>
                <c:pt idx="48">
                  <c:v>12.425056540395092</c:v>
                </c:pt>
                <c:pt idx="49">
                  <c:v>12.893871997458781</c:v>
                </c:pt>
                <c:pt idx="50">
                  <c:v>13.380376543668042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4F-4C86-B944-89D974DDE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193759"/>
        <c:axId val="1211201247"/>
      </c:scatterChart>
      <c:valAx>
        <c:axId val="1211193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201247"/>
        <c:crosses val="autoZero"/>
        <c:crossBetween val="midCat"/>
      </c:valAx>
      <c:valAx>
        <c:axId val="121120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193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60"/>
      <c:hPercent val="100"/>
      <c:rotY val="6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Sheet1!$G$5</c:f>
              <c:strCache>
                <c:ptCount val="1"/>
                <c:pt idx="0">
                  <c:v>23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Sheet1!$G$6:$G$36</c:f>
              <c:numCache>
                <c:formatCode>General</c:formatCode>
                <c:ptCount val="31"/>
                <c:pt idx="0" formatCode="0.00">
                  <c:v>27.418297086642237</c:v>
                </c:pt>
                <c:pt idx="1">
                  <c:v>28.68655994742047</c:v>
                </c:pt>
                <c:pt idx="2">
                  <c:v>30.13827790340736</c:v>
                </c:pt>
                <c:pt idx="3">
                  <c:v>31.773450954602897</c:v>
                </c:pt>
                <c:pt idx="4">
                  <c:v>33.592079101007094</c:v>
                </c:pt>
                <c:pt idx="5">
                  <c:v>35.594162342619924</c:v>
                </c:pt>
                <c:pt idx="6">
                  <c:v>37.779700679441419</c:v>
                </c:pt>
                <c:pt idx="7">
                  <c:v>40.148694111471549</c:v>
                </c:pt>
                <c:pt idx="8">
                  <c:v>42.701142638710323</c:v>
                </c:pt>
                <c:pt idx="9">
                  <c:v>45.437046261157754</c:v>
                </c:pt>
                <c:pt idx="10">
                  <c:v>48.356404978813821</c:v>
                </c:pt>
                <c:pt idx="11">
                  <c:v>51.459218791678559</c:v>
                </c:pt>
                <c:pt idx="12">
                  <c:v>54.745487699751941</c:v>
                </c:pt>
                <c:pt idx="13">
                  <c:v>58.21521170303398</c:v>
                </c:pt>
                <c:pt idx="14">
                  <c:v>61.868390801524619</c:v>
                </c:pt>
                <c:pt idx="15">
                  <c:v>65.70502499522398</c:v>
                </c:pt>
                <c:pt idx="16">
                  <c:v>69.725114284131934</c:v>
                </c:pt>
                <c:pt idx="17">
                  <c:v>73.928658668248502</c:v>
                </c:pt>
                <c:pt idx="18">
                  <c:v>78.315658147573828</c:v>
                </c:pt>
                <c:pt idx="19">
                  <c:v>82.886112722107725</c:v>
                </c:pt>
                <c:pt idx="20">
                  <c:v>87.640022391850195</c:v>
                </c:pt>
                <c:pt idx="21">
                  <c:v>92.577387156801279</c:v>
                </c:pt>
                <c:pt idx="22">
                  <c:v>97.698207016961021</c:v>
                </c:pt>
                <c:pt idx="23">
                  <c:v>103.00248197232939</c:v>
                </c:pt>
                <c:pt idx="24">
                  <c:v>108.49021202290641</c:v>
                </c:pt>
                <c:pt idx="25">
                  <c:v>114.16139716869209</c:v>
                </c:pt>
                <c:pt idx="26">
                  <c:v>120.01603740968636</c:v>
                </c:pt>
                <c:pt idx="27">
                  <c:v>126.05413274588935</c:v>
                </c:pt>
                <c:pt idx="28">
                  <c:v>132.27568317730086</c:v>
                </c:pt>
                <c:pt idx="29">
                  <c:v>138.68068870392111</c:v>
                </c:pt>
                <c:pt idx="30">
                  <c:v>145.26914932574999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5-44D0-BAA0-985669E7ADA8}"/>
            </c:ext>
          </c:extLst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23.4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Sheet1!$H$6:$H$36</c:f>
              <c:numCache>
                <c:formatCode>General</c:formatCode>
                <c:ptCount val="31"/>
                <c:pt idx="0">
                  <c:v>22.301290523440283</c:v>
                </c:pt>
                <c:pt idx="1">
                  <c:v>22.593691256295422</c:v>
                </c:pt>
                <c:pt idx="2">
                  <c:v>23.059078196915184</c:v>
                </c:pt>
                <c:pt idx="3">
                  <c:v>23.697451345299601</c:v>
                </c:pt>
                <c:pt idx="4">
                  <c:v>24.508810701448645</c:v>
                </c:pt>
                <c:pt idx="5">
                  <c:v>25.49315626536233</c:v>
                </c:pt>
                <c:pt idx="6">
                  <c:v>26.650488037040645</c:v>
                </c:pt>
                <c:pt idx="7">
                  <c:v>27.980806016483598</c:v>
                </c:pt>
                <c:pt idx="8">
                  <c:v>29.484110203691184</c:v>
                </c:pt>
                <c:pt idx="9">
                  <c:v>31.160400598663408</c:v>
                </c:pt>
                <c:pt idx="10">
                  <c:v>33.009677201400272</c:v>
                </c:pt>
                <c:pt idx="11">
                  <c:v>35.03194001190176</c:v>
                </c:pt>
                <c:pt idx="12">
                  <c:v>37.227189030167906</c:v>
                </c:pt>
                <c:pt idx="13">
                  <c:v>39.595424256198683</c:v>
                </c:pt>
                <c:pt idx="14">
                  <c:v>42.136645689994083</c:v>
                </c:pt>
                <c:pt idx="15">
                  <c:v>44.850853331554113</c:v>
                </c:pt>
                <c:pt idx="16">
                  <c:v>47.738047180878809</c:v>
                </c:pt>
                <c:pt idx="17">
                  <c:v>50.798227237968113</c:v>
                </c:pt>
                <c:pt idx="18">
                  <c:v>54.031393502822063</c:v>
                </c:pt>
                <c:pt idx="19">
                  <c:v>57.437545975440656</c:v>
                </c:pt>
                <c:pt idx="20">
                  <c:v>61.016684655823795</c:v>
                </c:pt>
                <c:pt idx="21">
                  <c:v>64.768809543971599</c:v>
                </c:pt>
                <c:pt idx="22">
                  <c:v>68.693920639883984</c:v>
                </c:pt>
                <c:pt idx="23">
                  <c:v>72.792017943560992</c:v>
                </c:pt>
                <c:pt idx="24">
                  <c:v>77.06310145500268</c:v>
                </c:pt>
                <c:pt idx="25">
                  <c:v>81.507171174208949</c:v>
                </c:pt>
                <c:pt idx="26">
                  <c:v>86.124227101179841</c:v>
                </c:pt>
                <c:pt idx="27">
                  <c:v>90.914269235915413</c:v>
                </c:pt>
                <c:pt idx="28">
                  <c:v>95.877297578415593</c:v>
                </c:pt>
                <c:pt idx="29">
                  <c:v>101.01331212868035</c:v>
                </c:pt>
                <c:pt idx="30">
                  <c:v>106.32231288670982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5-44D0-BAA0-985669E7ADA8}"/>
            </c:ext>
          </c:extLst>
        </c:ser>
        <c:ser>
          <c:idx val="2"/>
          <c:order val="2"/>
          <c:tx>
            <c:strRef>
              <c:f>Sheet1!$I$5</c:f>
              <c:strCache>
                <c:ptCount val="1"/>
                <c:pt idx="0">
                  <c:v>23.8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Sheet1!$I$6:$I$36</c:f>
              <c:numCache>
                <c:formatCode>General</c:formatCode>
                <c:ptCount val="31"/>
                <c:pt idx="0">
                  <c:v>22.332744560841657</c:v>
                </c:pt>
                <c:pt idx="1">
                  <c:v>21.764323306254717</c:v>
                </c:pt>
                <c:pt idx="2">
                  <c:v>21.359374483387157</c:v>
                </c:pt>
                <c:pt idx="3">
                  <c:v>21.117898092239013</c:v>
                </c:pt>
                <c:pt idx="4">
                  <c:v>21.03989413281025</c:v>
                </c:pt>
                <c:pt idx="5">
                  <c:v>21.125362605100889</c:v>
                </c:pt>
                <c:pt idx="6">
                  <c:v>21.374303509110927</c:v>
                </c:pt>
                <c:pt idx="7">
                  <c:v>21.786716844840356</c:v>
                </c:pt>
                <c:pt idx="8">
                  <c:v>22.362602612289184</c:v>
                </c:pt>
                <c:pt idx="9">
                  <c:v>23.101960811457388</c:v>
                </c:pt>
                <c:pt idx="10">
                  <c:v>24.00479144234501</c:v>
                </c:pt>
                <c:pt idx="11">
                  <c:v>25.071094504952015</c:v>
                </c:pt>
                <c:pt idx="12">
                  <c:v>26.300869999278436</c:v>
                </c:pt>
                <c:pt idx="13">
                  <c:v>27.694117925324225</c:v>
                </c:pt>
                <c:pt idx="14">
                  <c:v>29.250838283089433</c:v>
                </c:pt>
                <c:pt idx="15">
                  <c:v>30.971031072574018</c:v>
                </c:pt>
                <c:pt idx="16">
                  <c:v>32.854696293778012</c:v>
                </c:pt>
                <c:pt idx="17">
                  <c:v>34.901833946701394</c:v>
                </c:pt>
                <c:pt idx="18">
                  <c:v>37.112444031344175</c:v>
                </c:pt>
                <c:pt idx="19">
                  <c:v>39.486526547706319</c:v>
                </c:pt>
                <c:pt idx="20">
                  <c:v>42.024081495787861</c:v>
                </c:pt>
                <c:pt idx="21">
                  <c:v>44.725108875588759</c:v>
                </c:pt>
                <c:pt idx="22">
                  <c:v>47.589608687109028</c:v>
                </c:pt>
                <c:pt idx="23">
                  <c:v>50.61758093034873</c:v>
                </c:pt>
                <c:pt idx="24">
                  <c:v>53.809025605307809</c:v>
                </c:pt>
                <c:pt idx="25">
                  <c:v>57.163942711986245</c:v>
                </c:pt>
                <c:pt idx="26">
                  <c:v>60.682332250384071</c:v>
                </c:pt>
                <c:pt idx="27">
                  <c:v>64.364194220501332</c:v>
                </c:pt>
                <c:pt idx="28">
                  <c:v>68.209528622337942</c:v>
                </c:pt>
                <c:pt idx="29">
                  <c:v>72.218335455893921</c:v>
                </c:pt>
                <c:pt idx="30">
                  <c:v>76.390614721169314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F5-44D0-BAA0-985669E7ADA8}"/>
            </c:ext>
          </c:extLst>
        </c:ser>
        <c:ser>
          <c:idx val="3"/>
          <c:order val="3"/>
          <c:tx>
            <c:strRef>
              <c:f>Sheet1!$J$5</c:f>
              <c:strCache>
                <c:ptCount val="1"/>
                <c:pt idx="0">
                  <c:v>24.2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Sheet1!$J$6:$J$36</c:f>
              <c:numCache>
                <c:formatCode>General</c:formatCode>
                <c:ptCount val="31"/>
                <c:pt idx="0">
                  <c:v>26.599110426598561</c:v>
                </c:pt>
                <c:pt idx="1">
                  <c:v>25.269793171263576</c:v>
                </c:pt>
                <c:pt idx="2">
                  <c:v>24.095278756119392</c:v>
                </c:pt>
                <c:pt idx="3">
                  <c:v>23.075567181166047</c:v>
                </c:pt>
                <c:pt idx="4">
                  <c:v>22.210658446403517</c:v>
                </c:pt>
                <c:pt idx="5">
                  <c:v>21.500552551831831</c:v>
                </c:pt>
                <c:pt idx="6">
                  <c:v>20.945249497450959</c:v>
                </c:pt>
                <c:pt idx="7">
                  <c:v>20.544749283260916</c:v>
                </c:pt>
                <c:pt idx="8">
                  <c:v>20.299051909261703</c:v>
                </c:pt>
                <c:pt idx="9">
                  <c:v>20.2081573754533</c:v>
                </c:pt>
                <c:pt idx="10">
                  <c:v>20.27206568183572</c:v>
                </c:pt>
                <c:pt idx="11">
                  <c:v>20.49077682840899</c:v>
                </c:pt>
                <c:pt idx="12">
                  <c:v>20.864290815173067</c:v>
                </c:pt>
                <c:pt idx="13">
                  <c:v>21.392607642127981</c:v>
                </c:pt>
                <c:pt idx="14">
                  <c:v>22.075727309273717</c:v>
                </c:pt>
                <c:pt idx="15">
                  <c:v>22.913649816610267</c:v>
                </c:pt>
                <c:pt idx="16">
                  <c:v>23.90637516413765</c:v>
                </c:pt>
                <c:pt idx="17">
                  <c:v>25.053903351855848</c:v>
                </c:pt>
                <c:pt idx="18">
                  <c:v>26.356234379764896</c:v>
                </c:pt>
                <c:pt idx="19">
                  <c:v>27.813368247864751</c:v>
                </c:pt>
                <c:pt idx="20">
                  <c:v>29.425304956155394</c:v>
                </c:pt>
                <c:pt idx="21">
                  <c:v>31.192044504636872</c:v>
                </c:pt>
                <c:pt idx="22">
                  <c:v>33.113586893309147</c:v>
                </c:pt>
                <c:pt idx="23">
                  <c:v>35.189932122172245</c:v>
                </c:pt>
                <c:pt idx="24">
                  <c:v>37.421080191226181</c:v>
                </c:pt>
                <c:pt idx="25">
                  <c:v>39.807031100470901</c:v>
                </c:pt>
                <c:pt idx="26">
                  <c:v>42.347784849906482</c:v>
                </c:pt>
                <c:pt idx="27">
                  <c:v>45.043341439532831</c:v>
                </c:pt>
                <c:pt idx="28">
                  <c:v>47.893700869350027</c:v>
                </c:pt>
                <c:pt idx="29">
                  <c:v>50.898863139358056</c:v>
                </c:pt>
                <c:pt idx="30">
                  <c:v>54.058828249556896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F5-44D0-BAA0-985669E7ADA8}"/>
            </c:ext>
          </c:extLst>
        </c:ser>
        <c:ser>
          <c:idx val="4"/>
          <c:order val="4"/>
          <c:tx>
            <c:strRef>
              <c:f>Sheet1!$K$5</c:f>
              <c:strCache>
                <c:ptCount val="1"/>
                <c:pt idx="0">
                  <c:v>24.6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Sheet1!$K$6:$K$36</c:f>
              <c:numCache>
                <c:formatCode>General</c:formatCode>
                <c:ptCount val="31"/>
                <c:pt idx="0">
                  <c:v>34.341156766701936</c:v>
                </c:pt>
                <c:pt idx="1">
                  <c:v>32.337998432316994</c:v>
                </c:pt>
                <c:pt idx="2">
                  <c:v>30.481721916602385</c:v>
                </c:pt>
                <c:pt idx="3">
                  <c:v>28.772327219558068</c:v>
                </c:pt>
                <c:pt idx="4">
                  <c:v>27.209814341184089</c:v>
                </c:pt>
                <c:pt idx="5">
                  <c:v>25.794183281480425</c:v>
                </c:pt>
                <c:pt idx="6">
                  <c:v>24.525434040447067</c:v>
                </c:pt>
                <c:pt idx="7">
                  <c:v>23.403566618084028</c:v>
                </c:pt>
                <c:pt idx="8">
                  <c:v>22.428581014391309</c:v>
                </c:pt>
                <c:pt idx="9">
                  <c:v>21.600477229368892</c:v>
                </c:pt>
                <c:pt idx="10">
                  <c:v>20.919255263016822</c:v>
                </c:pt>
                <c:pt idx="11">
                  <c:v>20.384915115335037</c:v>
                </c:pt>
                <c:pt idx="12">
                  <c:v>19.997456786323582</c:v>
                </c:pt>
                <c:pt idx="13">
                  <c:v>19.75688027598245</c:v>
                </c:pt>
                <c:pt idx="14">
                  <c:v>19.663185584311623</c:v>
                </c:pt>
                <c:pt idx="15">
                  <c:v>19.716372711311109</c:v>
                </c:pt>
                <c:pt idx="16">
                  <c:v>19.916441656980926</c:v>
                </c:pt>
                <c:pt idx="17">
                  <c:v>20.26339242132104</c:v>
                </c:pt>
                <c:pt idx="18">
                  <c:v>20.757225004331499</c:v>
                </c:pt>
                <c:pt idx="19">
                  <c:v>21.397939406012256</c:v>
                </c:pt>
                <c:pt idx="20">
                  <c:v>22.185535626363308</c:v>
                </c:pt>
                <c:pt idx="21">
                  <c:v>23.120013665384672</c:v>
                </c:pt>
                <c:pt idx="22">
                  <c:v>24.201373523076356</c:v>
                </c:pt>
                <c:pt idx="23">
                  <c:v>25.429615199438327</c:v>
                </c:pt>
                <c:pt idx="24">
                  <c:v>26.804738694470643</c:v>
                </c:pt>
                <c:pt idx="25">
                  <c:v>28.326744008173229</c:v>
                </c:pt>
                <c:pt idx="26">
                  <c:v>29.995631140546145</c:v>
                </c:pt>
                <c:pt idx="27">
                  <c:v>31.811400091589363</c:v>
                </c:pt>
                <c:pt idx="28">
                  <c:v>33.774050861302896</c:v>
                </c:pt>
                <c:pt idx="29">
                  <c:v>35.883583449686753</c:v>
                </c:pt>
                <c:pt idx="30">
                  <c:v>38.139997856740884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F5-44D0-BAA0-985669E7ADA8}"/>
            </c:ext>
          </c:extLst>
        </c:ser>
        <c:ser>
          <c:idx val="5"/>
          <c:order val="5"/>
          <c:tx>
            <c:strRef>
              <c:f>Sheet1!$L$5</c:f>
              <c:strCache>
                <c:ptCount val="1"/>
                <c:pt idx="0">
                  <c:v>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Sheet1!$L$6:$L$36</c:f>
              <c:numCache>
                <c:formatCode>General</c:formatCode>
                <c:ptCount val="31"/>
                <c:pt idx="0">
                  <c:v>44.926514313384921</c:v>
                </c:pt>
                <c:pt idx="1">
                  <c:v>42.325570454402637</c:v>
                </c:pt>
                <c:pt idx="2">
                  <c:v>39.864253242084857</c:v>
                </c:pt>
                <c:pt idx="3">
                  <c:v>37.542562676431594</c:v>
                </c:pt>
                <c:pt idx="4">
                  <c:v>35.360498757442883</c:v>
                </c:pt>
                <c:pt idx="5">
                  <c:v>33.318061485118726</c:v>
                </c:pt>
                <c:pt idx="6">
                  <c:v>31.415250859459071</c:v>
                </c:pt>
                <c:pt idx="7">
                  <c:v>29.652066880463948</c:v>
                </c:pt>
                <c:pt idx="8">
                  <c:v>28.028509548133385</c:v>
                </c:pt>
                <c:pt idx="9">
                  <c:v>26.544578862467343</c:v>
                </c:pt>
                <c:pt idx="10">
                  <c:v>25.200274823465822</c:v>
                </c:pt>
                <c:pt idx="11">
                  <c:v>23.995597431128839</c:v>
                </c:pt>
                <c:pt idx="12">
                  <c:v>22.930546685456399</c:v>
                </c:pt>
                <c:pt idx="13">
                  <c:v>22.005122586448479</c:v>
                </c:pt>
                <c:pt idx="14">
                  <c:v>21.219325134105109</c:v>
                </c:pt>
                <c:pt idx="15">
                  <c:v>20.573154328426259</c:v>
                </c:pt>
                <c:pt idx="16">
                  <c:v>20.066610169411941</c:v>
                </c:pt>
                <c:pt idx="17">
                  <c:v>19.699692657062165</c:v>
                </c:pt>
                <c:pt idx="18">
                  <c:v>19.472401791376921</c:v>
                </c:pt>
                <c:pt idx="19">
                  <c:v>19.384737572356201</c:v>
                </c:pt>
                <c:pt idx="20">
                  <c:v>19.436700000000005</c:v>
                </c:pt>
                <c:pt idx="21">
                  <c:v>19.628289074308356</c:v>
                </c:pt>
                <c:pt idx="22">
                  <c:v>19.959504795281223</c:v>
                </c:pt>
                <c:pt idx="23">
                  <c:v>20.430347162918626</c:v>
                </c:pt>
                <c:pt idx="24">
                  <c:v>21.040816177220542</c:v>
                </c:pt>
                <c:pt idx="25">
                  <c:v>21.790911838186986</c:v>
                </c:pt>
                <c:pt idx="26">
                  <c:v>22.680634145817962</c:v>
                </c:pt>
                <c:pt idx="27">
                  <c:v>23.709983100113465</c:v>
                </c:pt>
                <c:pt idx="28">
                  <c:v>24.878958701073493</c:v>
                </c:pt>
                <c:pt idx="29">
                  <c:v>26.18756094869806</c:v>
                </c:pt>
                <c:pt idx="30">
                  <c:v>27.635789842987123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F5-44D0-BAA0-985669E7ADA8}"/>
            </c:ext>
          </c:extLst>
        </c:ser>
        <c:ser>
          <c:idx val="6"/>
          <c:order val="6"/>
          <c:tx>
            <c:strRef>
              <c:f>Sheet1!$M$5</c:f>
              <c:strCache>
                <c:ptCount val="1"/>
                <c:pt idx="0">
                  <c:v>25.4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Sheet1!$M$6:$M$36</c:f>
              <c:numCache>
                <c:formatCode>General</c:formatCode>
                <c:ptCount val="31"/>
                <c:pt idx="0">
                  <c:v>57.827455138478328</c:v>
                </c:pt>
                <c:pt idx="1">
                  <c:v>54.695349919385471</c:v>
                </c:pt>
                <c:pt idx="2">
                  <c:v>51.69621020603357</c:v>
                </c:pt>
                <c:pt idx="3">
                  <c:v>48.830035998422638</c:v>
                </c:pt>
                <c:pt idx="4">
                  <c:v>46.096827296552654</c:v>
                </c:pt>
                <c:pt idx="5">
                  <c:v>43.49658410042364</c:v>
                </c:pt>
                <c:pt idx="6">
                  <c:v>41.029306410035581</c:v>
                </c:pt>
                <c:pt idx="7">
                  <c:v>38.69499422538847</c:v>
                </c:pt>
                <c:pt idx="8">
                  <c:v>36.493647546482343</c:v>
                </c:pt>
                <c:pt idx="9">
                  <c:v>34.425266373317172</c:v>
                </c:pt>
                <c:pt idx="10">
                  <c:v>32.489850705892934</c:v>
                </c:pt>
                <c:pt idx="11">
                  <c:v>30.687400544209694</c:v>
                </c:pt>
                <c:pt idx="12">
                  <c:v>29.0179158882674</c:v>
                </c:pt>
                <c:pt idx="13">
                  <c:v>27.481396738066071</c:v>
                </c:pt>
                <c:pt idx="14">
                  <c:v>26.077843093605686</c:v>
                </c:pt>
                <c:pt idx="15">
                  <c:v>24.807254954886279</c:v>
                </c:pt>
                <c:pt idx="16">
                  <c:v>23.669632321907834</c:v>
                </c:pt>
                <c:pt idx="17">
                  <c:v>22.664975194670333</c:v>
                </c:pt>
                <c:pt idx="18">
                  <c:v>21.793283573173802</c:v>
                </c:pt>
                <c:pt idx="19">
                  <c:v>21.054557457418245</c:v>
                </c:pt>
                <c:pt idx="20">
                  <c:v>20.448796847403631</c:v>
                </c:pt>
                <c:pt idx="21">
                  <c:v>19.976001743129984</c:v>
                </c:pt>
                <c:pt idx="22">
                  <c:v>19.636172144597307</c:v>
                </c:pt>
                <c:pt idx="23">
                  <c:v>19.429308051805563</c:v>
                </c:pt>
                <c:pt idx="24">
                  <c:v>19.355409464754793</c:v>
                </c:pt>
                <c:pt idx="25">
                  <c:v>19.414476383444974</c:v>
                </c:pt>
                <c:pt idx="26">
                  <c:v>19.606508807876089</c:v>
                </c:pt>
                <c:pt idx="27">
                  <c:v>19.931506738048189</c:v>
                </c:pt>
                <c:pt idx="28">
                  <c:v>20.389470173961229</c:v>
                </c:pt>
                <c:pt idx="29">
                  <c:v>20.980399115615214</c:v>
                </c:pt>
                <c:pt idx="30">
                  <c:v>21.704293563010172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F5-44D0-BAA0-985669E7ADA8}"/>
            </c:ext>
          </c:extLst>
        </c:ser>
        <c:ser>
          <c:idx val="7"/>
          <c:order val="7"/>
          <c:tx>
            <c:strRef>
              <c:f>Sheet1!$N$5</c:f>
              <c:strCache>
                <c:ptCount val="1"/>
                <c:pt idx="0">
                  <c:v>25.8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Sheet1!$N$6:$N$36</c:f>
              <c:numCache>
                <c:formatCode>General</c:formatCode>
                <c:ptCount val="31"/>
                <c:pt idx="0">
                  <c:v>72.602836623022696</c:v>
                </c:pt>
                <c:pt idx="1">
                  <c:v>68.998081335365512</c:v>
                </c:pt>
                <c:pt idx="2">
                  <c:v>65.520161879181273</c:v>
                </c:pt>
                <c:pt idx="3">
                  <c:v>62.169078254469994</c:v>
                </c:pt>
                <c:pt idx="4">
                  <c:v>58.944830461231618</c:v>
                </c:pt>
                <c:pt idx="5">
                  <c:v>55.847418499466173</c:v>
                </c:pt>
                <c:pt idx="6">
                  <c:v>52.876842369173694</c:v>
                </c:pt>
                <c:pt idx="7">
                  <c:v>50.033102070354133</c:v>
                </c:pt>
                <c:pt idx="8">
                  <c:v>47.316197603007524</c:v>
                </c:pt>
                <c:pt idx="9">
                  <c:v>44.726128967133825</c:v>
                </c:pt>
                <c:pt idx="10">
                  <c:v>42.262896162733099</c:v>
                </c:pt>
                <c:pt idx="11">
                  <c:v>39.926499189805277</c:v>
                </c:pt>
                <c:pt idx="12">
                  <c:v>37.716938048350393</c:v>
                </c:pt>
                <c:pt idx="13">
                  <c:v>35.634212738368447</c:v>
                </c:pt>
                <c:pt idx="14">
                  <c:v>33.678323259859454</c:v>
                </c:pt>
                <c:pt idx="15">
                  <c:v>31.849269612823395</c:v>
                </c:pt>
                <c:pt idx="16">
                  <c:v>30.147051797260264</c:v>
                </c:pt>
                <c:pt idx="17">
                  <c:v>28.571669813170065</c:v>
                </c:pt>
                <c:pt idx="18">
                  <c:v>27.1231236605528</c:v>
                </c:pt>
                <c:pt idx="19">
                  <c:v>25.80141333940848</c:v>
                </c:pt>
                <c:pt idx="20">
                  <c:v>24.606538849737117</c:v>
                </c:pt>
                <c:pt idx="21">
                  <c:v>23.538500191538677</c:v>
                </c:pt>
                <c:pt idx="22">
                  <c:v>22.597297364813183</c:v>
                </c:pt>
                <c:pt idx="23">
                  <c:v>21.78293036956061</c:v>
                </c:pt>
                <c:pt idx="24">
                  <c:v>21.095399205780968</c:v>
                </c:pt>
                <c:pt idx="25">
                  <c:v>20.534703873474253</c:v>
                </c:pt>
                <c:pt idx="26">
                  <c:v>20.100844372640484</c:v>
                </c:pt>
                <c:pt idx="27">
                  <c:v>19.793820703279621</c:v>
                </c:pt>
                <c:pt idx="28">
                  <c:v>19.613632865391715</c:v>
                </c:pt>
                <c:pt idx="29">
                  <c:v>19.560280858976729</c:v>
                </c:pt>
                <c:pt idx="30">
                  <c:v>19.633764684034666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F5-44D0-BAA0-985669E7ADA8}"/>
            </c:ext>
          </c:extLst>
        </c:ser>
        <c:ser>
          <c:idx val="8"/>
          <c:order val="8"/>
          <c:tx>
            <c:strRef>
              <c:f>Sheet1!$O$5</c:f>
              <c:strCache>
                <c:ptCount val="1"/>
                <c:pt idx="0">
                  <c:v>26.2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Sheet1!$O$6:$O$36</c:f>
              <c:numCache>
                <c:formatCode>General</c:formatCode>
                <c:ptCount val="31"/>
                <c:pt idx="0">
                  <c:v>88.883373747779686</c:v>
                </c:pt>
                <c:pt idx="1">
                  <c:v>84.857479579164163</c:v>
                </c:pt>
                <c:pt idx="2">
                  <c:v>80.952768354624538</c:v>
                </c:pt>
                <c:pt idx="3">
                  <c:v>77.169240074160854</c:v>
                </c:pt>
                <c:pt idx="4">
                  <c:v>73.506894737773081</c:v>
                </c:pt>
                <c:pt idx="5">
                  <c:v>69.965732345461248</c:v>
                </c:pt>
                <c:pt idx="6">
                  <c:v>66.545752897225341</c:v>
                </c:pt>
                <c:pt idx="7">
                  <c:v>63.246956393065361</c:v>
                </c:pt>
                <c:pt idx="8">
                  <c:v>60.069342832981313</c:v>
                </c:pt>
                <c:pt idx="9">
                  <c:v>57.012912216973163</c:v>
                </c:pt>
                <c:pt idx="10">
                  <c:v>54.077664545040989</c:v>
                </c:pt>
                <c:pt idx="11">
                  <c:v>51.263599817184712</c:v>
                </c:pt>
                <c:pt idx="12">
                  <c:v>48.570718033404361</c:v>
                </c:pt>
                <c:pt idx="13">
                  <c:v>45.999019193699958</c:v>
                </c:pt>
                <c:pt idx="14">
                  <c:v>43.548503298071459</c:v>
                </c:pt>
                <c:pt idx="15">
                  <c:v>41.219170346518908</c:v>
                </c:pt>
                <c:pt idx="16">
                  <c:v>39.01102033904229</c:v>
                </c:pt>
                <c:pt idx="17">
                  <c:v>36.924053275641576</c:v>
                </c:pt>
                <c:pt idx="18">
                  <c:v>34.95826915631681</c:v>
                </c:pt>
                <c:pt idx="19">
                  <c:v>33.113667981067948</c:v>
                </c:pt>
                <c:pt idx="20">
                  <c:v>31.390249749895073</c:v>
                </c:pt>
                <c:pt idx="21">
                  <c:v>29.788014462798117</c:v>
                </c:pt>
                <c:pt idx="22">
                  <c:v>28.306962119777079</c:v>
                </c:pt>
                <c:pt idx="23">
                  <c:v>26.947092720831964</c:v>
                </c:pt>
                <c:pt idx="24">
                  <c:v>25.708406265962768</c:v>
                </c:pt>
                <c:pt idx="25">
                  <c:v>24.590902755169502</c:v>
                </c:pt>
                <c:pt idx="26">
                  <c:v>23.594582188452158</c:v>
                </c:pt>
                <c:pt idx="27">
                  <c:v>22.719444565810729</c:v>
                </c:pt>
                <c:pt idx="28">
                  <c:v>21.965489887245226</c:v>
                </c:pt>
                <c:pt idx="29">
                  <c:v>21.332718152755646</c:v>
                </c:pt>
                <c:pt idx="30">
                  <c:v>20.821129362341981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F5-44D0-BAA0-985669E7ADA8}"/>
            </c:ext>
          </c:extLst>
        </c:ser>
        <c:ser>
          <c:idx val="9"/>
          <c:order val="9"/>
          <c:tx>
            <c:strRef>
              <c:f>Sheet1!$P$5</c:f>
              <c:strCache>
                <c:ptCount val="1"/>
                <c:pt idx="0">
                  <c:v>26.6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Sheet1!$P$6:$P$36</c:f>
              <c:numCache>
                <c:formatCode>General</c:formatCode>
                <c:ptCount val="31"/>
                <c:pt idx="0">
                  <c:v>106.35958265133901</c:v>
                </c:pt>
                <c:pt idx="1">
                  <c:v>101.95800308023883</c:v>
                </c:pt>
                <c:pt idx="2">
                  <c:v>97.672382415071539</c:v>
                </c:pt>
                <c:pt idx="3">
                  <c:v>93.502720655837066</c:v>
                </c:pt>
                <c:pt idx="4">
                  <c:v>89.449017802535423</c:v>
                </c:pt>
                <c:pt idx="5">
                  <c:v>85.511273855166664</c:v>
                </c:pt>
                <c:pt idx="6">
                  <c:v>81.689488813730733</c:v>
                </c:pt>
                <c:pt idx="7">
                  <c:v>77.98366267822766</c:v>
                </c:pt>
                <c:pt idx="8">
                  <c:v>74.393795448657443</c:v>
                </c:pt>
                <c:pt idx="9">
                  <c:v>70.91988712502004</c:v>
                </c:pt>
                <c:pt idx="10">
                  <c:v>67.561937707315508</c:v>
                </c:pt>
                <c:pt idx="11">
                  <c:v>64.319947195543804</c:v>
                </c:pt>
                <c:pt idx="12">
                  <c:v>61.193915589704957</c:v>
                </c:pt>
                <c:pt idx="13">
                  <c:v>58.183842889798974</c:v>
                </c:pt>
                <c:pt idx="14">
                  <c:v>55.28972909582582</c:v>
                </c:pt>
                <c:pt idx="15">
                  <c:v>52.511574207785515</c:v>
                </c:pt>
                <c:pt idx="16">
                  <c:v>49.849378225678066</c:v>
                </c:pt>
                <c:pt idx="17">
                  <c:v>47.303141149503453</c:v>
                </c:pt>
                <c:pt idx="18">
                  <c:v>44.872862979261676</c:v>
                </c:pt>
                <c:pt idx="19">
                  <c:v>42.558543714952769</c:v>
                </c:pt>
                <c:pt idx="20">
                  <c:v>40.360183356576741</c:v>
                </c:pt>
                <c:pt idx="21">
                  <c:v>38.277781904133562</c:v>
                </c:pt>
                <c:pt idx="22">
                  <c:v>36.311339357623211</c:v>
                </c:pt>
                <c:pt idx="23">
                  <c:v>34.460855717045717</c:v>
                </c:pt>
                <c:pt idx="24">
                  <c:v>32.726330982401059</c:v>
                </c:pt>
                <c:pt idx="25">
                  <c:v>31.107765153689254</c:v>
                </c:pt>
                <c:pt idx="26">
                  <c:v>29.605158230910273</c:v>
                </c:pt>
                <c:pt idx="27">
                  <c:v>28.218510214064146</c:v>
                </c:pt>
                <c:pt idx="28">
                  <c:v>26.947821103150858</c:v>
                </c:pt>
                <c:pt idx="29">
                  <c:v>25.793090898170405</c:v>
                </c:pt>
                <c:pt idx="30">
                  <c:v>24.754319599122805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F5-44D0-BAA0-985669E7ADA8}"/>
            </c:ext>
          </c:extLst>
        </c:ser>
        <c:ser>
          <c:idx val="10"/>
          <c:order val="10"/>
          <c:tx>
            <c:strRef>
              <c:f>Sheet1!$Q$5</c:f>
              <c:strCache>
                <c:ptCount val="1"/>
                <c:pt idx="0">
                  <c:v>27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Sheet1!$F$6:$F$36</c:f>
              <c:numCache>
                <c:formatCode>0.00</c:formatCode>
                <c:ptCount val="31"/>
                <c:pt idx="0">
                  <c:v>1.8</c:v>
                </c:pt>
                <c:pt idx="1">
                  <c:v>1.81</c:v>
                </c:pt>
                <c:pt idx="2">
                  <c:v>1.82</c:v>
                </c:pt>
                <c:pt idx="3">
                  <c:v>1.83</c:v>
                </c:pt>
                <c:pt idx="4">
                  <c:v>1.84</c:v>
                </c:pt>
                <c:pt idx="5">
                  <c:v>1.85</c:v>
                </c:pt>
                <c:pt idx="6">
                  <c:v>1.86</c:v>
                </c:pt>
                <c:pt idx="7">
                  <c:v>1.87</c:v>
                </c:pt>
                <c:pt idx="8">
                  <c:v>1.8800000000000001</c:v>
                </c:pt>
                <c:pt idx="9">
                  <c:v>1.8900000000000001</c:v>
                </c:pt>
                <c:pt idx="10">
                  <c:v>1.9000000000000001</c:v>
                </c:pt>
                <c:pt idx="11">
                  <c:v>1.9100000000000001</c:v>
                </c:pt>
                <c:pt idx="12">
                  <c:v>1.9200000000000002</c:v>
                </c:pt>
                <c:pt idx="13">
                  <c:v>1.9300000000000002</c:v>
                </c:pt>
                <c:pt idx="14">
                  <c:v>1.9400000000000002</c:v>
                </c:pt>
                <c:pt idx="15">
                  <c:v>1.9500000000000002</c:v>
                </c:pt>
                <c:pt idx="16">
                  <c:v>1.9600000000000002</c:v>
                </c:pt>
                <c:pt idx="17">
                  <c:v>1.9700000000000002</c:v>
                </c:pt>
                <c:pt idx="18">
                  <c:v>1.9800000000000002</c:v>
                </c:pt>
                <c:pt idx="19">
                  <c:v>1.9900000000000002</c:v>
                </c:pt>
                <c:pt idx="20">
                  <c:v>2</c:v>
                </c:pt>
                <c:pt idx="21">
                  <c:v>2.0099999999999998</c:v>
                </c:pt>
                <c:pt idx="22">
                  <c:v>2.0199999999999996</c:v>
                </c:pt>
                <c:pt idx="23">
                  <c:v>2.0299999999999994</c:v>
                </c:pt>
                <c:pt idx="24">
                  <c:v>2.0399999999999991</c:v>
                </c:pt>
                <c:pt idx="25">
                  <c:v>2.0499999999999989</c:v>
                </c:pt>
                <c:pt idx="26">
                  <c:v>2.0599999999999987</c:v>
                </c:pt>
                <c:pt idx="27">
                  <c:v>2.0699999999999985</c:v>
                </c:pt>
                <c:pt idx="28">
                  <c:v>2.0799999999999983</c:v>
                </c:pt>
                <c:pt idx="29">
                  <c:v>2.0899999999999981</c:v>
                </c:pt>
                <c:pt idx="30">
                  <c:v>2.0999999999999979</c:v>
                </c:pt>
              </c:numCache>
            </c:numRef>
          </c:cat>
          <c:val>
            <c:numRef>
              <c:f>Sheet1!$Q$6:$Q$36</c:f>
              <c:numCache>
                <c:formatCode>General</c:formatCode>
                <c:ptCount val="31"/>
                <c:pt idx="0">
                  <c:v>124.77187688218541</c:v>
                </c:pt>
                <c:pt idx="1">
                  <c:v>120.03480844880472</c:v>
                </c:pt>
                <c:pt idx="2">
                  <c:v>115.4088615800775</c:v>
                </c:pt>
                <c:pt idx="3">
                  <c:v>110.89403627600377</c:v>
                </c:pt>
                <c:pt idx="4">
                  <c:v>106.49033253658344</c:v>
                </c:pt>
                <c:pt idx="5">
                  <c:v>102.19775036181657</c:v>
                </c:pt>
                <c:pt idx="6">
                  <c:v>98.016289751703155</c:v>
                </c:pt>
                <c:pt idx="7">
                  <c:v>93.94595070624321</c:v>
                </c:pt>
                <c:pt idx="8">
                  <c:v>89.986733225436694</c:v>
                </c:pt>
                <c:pt idx="9">
                  <c:v>86.138637309283666</c:v>
                </c:pt>
                <c:pt idx="10">
                  <c:v>82.401662957784055</c:v>
                </c:pt>
                <c:pt idx="11">
                  <c:v>78.775810170937902</c:v>
                </c:pt>
                <c:pt idx="12">
                  <c:v>75.261078948745222</c:v>
                </c:pt>
                <c:pt idx="13">
                  <c:v>71.857469291205973</c:v>
                </c:pt>
                <c:pt idx="14">
                  <c:v>68.564981198320197</c:v>
                </c:pt>
                <c:pt idx="15">
                  <c:v>65.383614670087852</c:v>
                </c:pt>
                <c:pt idx="16">
                  <c:v>62.313369706508993</c:v>
                </c:pt>
                <c:pt idx="17">
                  <c:v>59.354246307583523</c:v>
                </c:pt>
                <c:pt idx="18">
                  <c:v>56.506244473311554</c:v>
                </c:pt>
                <c:pt idx="19">
                  <c:v>53.769364203693016</c:v>
                </c:pt>
                <c:pt idx="20">
                  <c:v>51.143605498728007</c:v>
                </c:pt>
                <c:pt idx="21">
                  <c:v>48.628968358416437</c:v>
                </c:pt>
                <c:pt idx="22">
                  <c:v>46.225452782758303</c:v>
                </c:pt>
                <c:pt idx="23">
                  <c:v>43.933058771753629</c:v>
                </c:pt>
                <c:pt idx="24">
                  <c:v>41.751786325402385</c:v>
                </c:pt>
                <c:pt idx="25">
                  <c:v>39.681635443704607</c:v>
                </c:pt>
                <c:pt idx="26">
                  <c:v>37.722606126660274</c:v>
                </c:pt>
                <c:pt idx="27">
                  <c:v>35.874698374269393</c:v>
                </c:pt>
                <c:pt idx="28">
                  <c:v>34.137912186531949</c:v>
                </c:pt>
                <c:pt idx="29">
                  <c:v>32.51224756344795</c:v>
                </c:pt>
                <c:pt idx="30">
                  <c:v>30.997704505017406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F5-44D0-BAA0-985669E7ADA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510463279"/>
        <c:axId val="1510465775"/>
        <c:axId val="1433595599"/>
      </c:surface3DChart>
      <c:catAx>
        <c:axId val="1510463279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465775"/>
        <c:crosses val="autoZero"/>
        <c:auto val="1"/>
        <c:lblAlgn val="ctr"/>
        <c:lblOffset val="100"/>
        <c:noMultiLvlLbl val="0"/>
      </c:catAx>
      <c:valAx>
        <c:axId val="151046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463279"/>
        <c:crosses val="autoZero"/>
        <c:crossBetween val="midCat"/>
      </c:valAx>
      <c:serAx>
        <c:axId val="143359559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4657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342900</xdr:colOff>
      <xdr:row>1</xdr:row>
      <xdr:rowOff>9524</xdr:rowOff>
    </xdr:from>
    <xdr:to>
      <xdr:col>27</xdr:col>
      <xdr:colOff>571500</xdr:colOff>
      <xdr:row>27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0</xdr:row>
          <xdr:rowOff>50800</xdr:rowOff>
        </xdr:from>
        <xdr:to>
          <xdr:col>6</xdr:col>
          <xdr:colOff>114300</xdr:colOff>
          <xdr:row>1</xdr:row>
          <xdr:rowOff>107950</xdr:rowOff>
        </xdr:to>
        <xdr:sp macro="" textlink="">
          <xdr:nvSpPr>
            <xdr:cNvPr id="2805" name="Button 1781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00000000-0008-0000-00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1781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100012</xdr:colOff>
      <xdr:row>0</xdr:row>
      <xdr:rowOff>190499</xdr:rowOff>
    </xdr:from>
    <xdr:to>
      <xdr:col>35</xdr:col>
      <xdr:colOff>404812</xdr:colOff>
      <xdr:row>28</xdr:row>
      <xdr:rowOff>104774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66"/>
  <sheetViews>
    <sheetView tabSelected="1" zoomScale="85" zoomScaleNormal="85" workbookViewId="0">
      <selection activeCell="Q36" sqref="Q36"/>
    </sheetView>
  </sheetViews>
  <sheetFormatPr defaultRowHeight="14.5" x14ac:dyDescent="0.35"/>
  <cols>
    <col min="2" max="2" width="10.54296875" customWidth="1"/>
    <col min="3" max="3" width="11.7265625" bestFit="1" customWidth="1"/>
    <col min="5" max="5" width="12.54296875" bestFit="1" customWidth="1"/>
  </cols>
  <sheetData>
    <row r="1" spans="1:17" x14ac:dyDescent="0.35">
      <c r="C1" t="s">
        <v>2</v>
      </c>
      <c r="D1">
        <v>100</v>
      </c>
    </row>
    <row r="2" spans="1:17" x14ac:dyDescent="0.35">
      <c r="C2" t="s">
        <v>8</v>
      </c>
      <c r="D2" s="2">
        <f>$Q$5</f>
        <v>26.999999999999986</v>
      </c>
    </row>
    <row r="3" spans="1:17" x14ac:dyDescent="0.35">
      <c r="C3" t="s">
        <v>3</v>
      </c>
      <c r="D3" s="4">
        <f>$F$36</f>
        <v>2.0999999999999979</v>
      </c>
      <c r="J3" t="s">
        <v>9</v>
      </c>
    </row>
    <row r="4" spans="1:17" x14ac:dyDescent="0.35">
      <c r="C4" t="s">
        <v>4</v>
      </c>
      <c r="D4" s="1">
        <f>SUM(E6:E56)</f>
        <v>30.997704505017406</v>
      </c>
      <c r="F4" t="s">
        <v>7</v>
      </c>
      <c r="G4" t="s">
        <v>8</v>
      </c>
    </row>
    <row r="5" spans="1:17" x14ac:dyDescent="0.35">
      <c r="A5" t="s">
        <v>1</v>
      </c>
      <c r="C5" t="s">
        <v>0</v>
      </c>
      <c r="D5" t="s">
        <v>6</v>
      </c>
      <c r="E5" t="s">
        <v>5</v>
      </c>
      <c r="G5">
        <v>23</v>
      </c>
      <c r="H5">
        <f>G5+0.4</f>
        <v>23.4</v>
      </c>
      <c r="I5">
        <f t="shared" ref="I5:Q5" si="0">H5+0.4</f>
        <v>23.799999999999997</v>
      </c>
      <c r="J5">
        <f t="shared" si="0"/>
        <v>24.199999999999996</v>
      </c>
      <c r="K5">
        <f t="shared" si="0"/>
        <v>24.599999999999994</v>
      </c>
      <c r="L5">
        <f t="shared" si="0"/>
        <v>24.999999999999993</v>
      </c>
      <c r="M5">
        <f t="shared" si="0"/>
        <v>25.399999999999991</v>
      </c>
      <c r="N5">
        <f t="shared" si="0"/>
        <v>25.79999999999999</v>
      </c>
      <c r="O5">
        <f t="shared" si="0"/>
        <v>26.199999999999989</v>
      </c>
      <c r="P5">
        <f t="shared" si="0"/>
        <v>26.599999999999987</v>
      </c>
      <c r="Q5">
        <f t="shared" si="0"/>
        <v>26.999999999999986</v>
      </c>
    </row>
    <row r="6" spans="1:17" x14ac:dyDescent="0.35">
      <c r="A6">
        <v>0</v>
      </c>
      <c r="B6" s="2">
        <f t="shared" ref="B6:B37" ca="1" si="1">RANDBETWEEN(-RandFac,RandFac)/100+2*EXP(A6/25)</f>
        <v>1.24</v>
      </c>
      <c r="C6" s="2">
        <v>2.63</v>
      </c>
      <c r="D6">
        <f t="shared" ref="D6:D37" si="2">Prefactor*EXP(A6/Lambda)</f>
        <v>2.0999999999999979</v>
      </c>
      <c r="E6" s="3">
        <f>(D6-C6)^2</f>
        <v>0.28090000000000215</v>
      </c>
      <c r="F6" s="1">
        <v>1.8</v>
      </c>
      <c r="G6" s="1">
        <v>27.418297086642237</v>
      </c>
      <c r="H6">
        <v>22.301290523440283</v>
      </c>
      <c r="I6">
        <v>22.332744560841657</v>
      </c>
      <c r="J6">
        <v>26.599110426598561</v>
      </c>
      <c r="K6">
        <v>34.341156766701936</v>
      </c>
      <c r="L6">
        <v>44.926514313384921</v>
      </c>
      <c r="M6">
        <v>57.827455138478328</v>
      </c>
      <c r="N6">
        <v>72.602836623022696</v>
      </c>
      <c r="O6">
        <v>88.883373747779686</v>
      </c>
      <c r="P6">
        <v>106.35958265133901</v>
      </c>
      <c r="Q6">
        <v>124.77187688218541</v>
      </c>
    </row>
    <row r="7" spans="1:17" x14ac:dyDescent="0.35">
      <c r="A7">
        <v>1</v>
      </c>
      <c r="B7" s="2">
        <f t="shared" ca="1" si="1"/>
        <v>2.4116215483847765</v>
      </c>
      <c r="C7" s="2">
        <v>1.1116215483847764</v>
      </c>
      <c r="D7">
        <f t="shared" si="2"/>
        <v>2.179236054711942</v>
      </c>
      <c r="E7" s="3">
        <f t="shared" ref="E7:E56" si="3">(D7-C7)^2</f>
        <v>1.1398007341201974</v>
      </c>
      <c r="F7" s="1">
        <f>F6+0.01</f>
        <v>1.81</v>
      </c>
      <c r="G7">
        <v>28.68655994742047</v>
      </c>
      <c r="H7">
        <v>22.593691256295422</v>
      </c>
      <c r="I7">
        <v>21.764323306254717</v>
      </c>
      <c r="J7">
        <v>25.269793171263576</v>
      </c>
      <c r="K7">
        <v>32.337998432316994</v>
      </c>
      <c r="L7">
        <v>42.325570454402637</v>
      </c>
      <c r="M7">
        <v>54.695349919385471</v>
      </c>
      <c r="N7">
        <v>68.998081335365512</v>
      </c>
      <c r="O7">
        <v>84.857479579164163</v>
      </c>
      <c r="P7">
        <v>101.95800308023883</v>
      </c>
      <c r="Q7">
        <v>120.03480844880472</v>
      </c>
    </row>
    <row r="8" spans="1:17" x14ac:dyDescent="0.35">
      <c r="A8">
        <v>2</v>
      </c>
      <c r="B8" s="2">
        <f t="shared" ca="1" si="1"/>
        <v>2.6065741353499172</v>
      </c>
      <c r="C8" s="2">
        <v>2.9865741353499171</v>
      </c>
      <c r="D8">
        <f t="shared" si="2"/>
        <v>2.261461801026893</v>
      </c>
      <c r="E8" s="3">
        <f t="shared" si="3"/>
        <v>0.52578789738738507</v>
      </c>
      <c r="F8" s="1">
        <f t="shared" ref="F8:F36" si="4">F7+0.01</f>
        <v>1.82</v>
      </c>
      <c r="G8">
        <v>30.13827790340736</v>
      </c>
      <c r="H8">
        <v>23.059078196915184</v>
      </c>
      <c r="I8">
        <v>21.359374483387157</v>
      </c>
      <c r="J8">
        <v>24.095278756119392</v>
      </c>
      <c r="K8">
        <v>30.481721916602385</v>
      </c>
      <c r="L8">
        <v>39.864253242084857</v>
      </c>
      <c r="M8">
        <v>51.69621020603357</v>
      </c>
      <c r="N8">
        <v>65.520161879181273</v>
      </c>
      <c r="O8">
        <v>80.952768354624538</v>
      </c>
      <c r="P8">
        <v>97.672382415071539</v>
      </c>
      <c r="Q8">
        <v>115.4088615800775</v>
      </c>
    </row>
    <row r="9" spans="1:17" x14ac:dyDescent="0.35">
      <c r="A9">
        <v>3</v>
      </c>
      <c r="B9" s="2">
        <f t="shared" ca="1" si="1"/>
        <v>2.7349937031587515</v>
      </c>
      <c r="C9" s="2">
        <v>2.0749937031587513</v>
      </c>
      <c r="D9">
        <f t="shared" si="2"/>
        <v>2.3467900443579115</v>
      </c>
      <c r="E9" s="3">
        <f t="shared" si="3"/>
        <v>7.3873251089250302E-2</v>
      </c>
      <c r="F9" s="1">
        <f t="shared" si="4"/>
        <v>1.83</v>
      </c>
      <c r="G9">
        <v>31.773450954602897</v>
      </c>
      <c r="H9">
        <v>23.697451345299601</v>
      </c>
      <c r="I9">
        <v>21.117898092239013</v>
      </c>
      <c r="J9">
        <v>23.075567181166047</v>
      </c>
      <c r="K9">
        <v>28.772327219558068</v>
      </c>
      <c r="L9">
        <v>37.542562676431594</v>
      </c>
      <c r="M9">
        <v>48.830035998422638</v>
      </c>
      <c r="N9">
        <v>62.169078254469994</v>
      </c>
      <c r="O9">
        <v>77.169240074160854</v>
      </c>
      <c r="P9">
        <v>93.502720655837066</v>
      </c>
      <c r="Q9">
        <v>110.89403627600377</v>
      </c>
    </row>
    <row r="10" spans="1:17" x14ac:dyDescent="0.35">
      <c r="A10">
        <v>4</v>
      </c>
      <c r="B10" s="2">
        <f t="shared" ca="1" si="1"/>
        <v>2.1470217419836204</v>
      </c>
      <c r="C10" s="2">
        <v>2.9470217419836207</v>
      </c>
      <c r="D10">
        <f t="shared" si="2"/>
        <v>2.4353378464303828</v>
      </c>
      <c r="E10" s="3">
        <f t="shared" si="3"/>
        <v>0.26182040896853687</v>
      </c>
      <c r="F10" s="1">
        <f t="shared" si="4"/>
        <v>1.84</v>
      </c>
      <c r="G10">
        <v>33.592079101007094</v>
      </c>
      <c r="H10">
        <v>24.508810701448645</v>
      </c>
      <c r="I10">
        <v>21.03989413281025</v>
      </c>
      <c r="J10">
        <v>22.210658446403517</v>
      </c>
      <c r="K10">
        <v>27.209814341184089</v>
      </c>
      <c r="L10">
        <v>35.360498757442883</v>
      </c>
      <c r="M10">
        <v>46.096827296552654</v>
      </c>
      <c r="N10">
        <v>58.944830461231618</v>
      </c>
      <c r="O10">
        <v>73.506894737773081</v>
      </c>
      <c r="P10">
        <v>89.449017802535423</v>
      </c>
      <c r="Q10">
        <v>106.49033253658344</v>
      </c>
    </row>
    <row r="11" spans="1:17" x14ac:dyDescent="0.35">
      <c r="A11">
        <v>5</v>
      </c>
      <c r="B11" s="2">
        <f t="shared" ca="1" si="1"/>
        <v>1.6128055163203396</v>
      </c>
      <c r="C11" s="2">
        <v>2.8728055163203399</v>
      </c>
      <c r="D11">
        <f t="shared" si="2"/>
        <v>2.5272266858788717</v>
      </c>
      <c r="E11" s="3">
        <f t="shared" si="3"/>
        <v>0.11942472804929302</v>
      </c>
      <c r="F11" s="1">
        <f t="shared" si="4"/>
        <v>1.85</v>
      </c>
      <c r="G11">
        <v>35.594162342619924</v>
      </c>
      <c r="H11">
        <v>25.49315626536233</v>
      </c>
      <c r="I11">
        <v>21.125362605100889</v>
      </c>
      <c r="J11">
        <v>21.500552551831831</v>
      </c>
      <c r="K11">
        <v>25.794183281480425</v>
      </c>
      <c r="L11">
        <v>33.318061485118726</v>
      </c>
      <c r="M11">
        <v>43.49658410042364</v>
      </c>
      <c r="N11">
        <v>55.847418499466173</v>
      </c>
      <c r="O11">
        <v>69.965732345461248</v>
      </c>
      <c r="P11">
        <v>85.511273855166664</v>
      </c>
      <c r="Q11">
        <v>102.19775036181657</v>
      </c>
    </row>
    <row r="12" spans="1:17" x14ac:dyDescent="0.35">
      <c r="A12">
        <v>6</v>
      </c>
      <c r="B12" s="2">
        <f t="shared" ca="1" si="1"/>
        <v>3.4724983006428096</v>
      </c>
      <c r="C12" s="2">
        <v>3.4224983006428094</v>
      </c>
      <c r="D12">
        <f t="shared" si="2"/>
        <v>2.6225826249035302</v>
      </c>
      <c r="E12" s="3">
        <f t="shared" si="3"/>
        <v>0.63986508829342759</v>
      </c>
      <c r="F12" s="1">
        <f t="shared" si="4"/>
        <v>1.86</v>
      </c>
      <c r="G12">
        <v>37.779700679441419</v>
      </c>
      <c r="H12">
        <v>26.650488037040645</v>
      </c>
      <c r="I12">
        <v>21.374303509110927</v>
      </c>
      <c r="J12">
        <v>20.945249497450959</v>
      </c>
      <c r="K12">
        <v>24.525434040447067</v>
      </c>
      <c r="L12">
        <v>31.415250859459071</v>
      </c>
      <c r="M12">
        <v>41.029306410035581</v>
      </c>
      <c r="N12">
        <v>52.876842369173694</v>
      </c>
      <c r="O12">
        <v>66.545752897225341</v>
      </c>
      <c r="P12">
        <v>81.689488813730733</v>
      </c>
      <c r="Q12">
        <v>98.016289751703155</v>
      </c>
    </row>
    <row r="13" spans="1:17" x14ac:dyDescent="0.35">
      <c r="A13">
        <v>7</v>
      </c>
      <c r="B13" s="2">
        <f t="shared" ca="1" si="1"/>
        <v>3.3262596246748739</v>
      </c>
      <c r="C13" s="2">
        <v>1.9962596246748738</v>
      </c>
      <c r="D13">
        <f t="shared" si="2"/>
        <v>2.721536482214697</v>
      </c>
      <c r="E13" s="3">
        <f t="shared" si="3"/>
        <v>0.52602652008284101</v>
      </c>
      <c r="F13" s="1">
        <f t="shared" si="4"/>
        <v>1.87</v>
      </c>
      <c r="G13">
        <v>40.148694111471549</v>
      </c>
      <c r="H13">
        <v>27.980806016483598</v>
      </c>
      <c r="I13">
        <v>21.786716844840356</v>
      </c>
      <c r="J13">
        <v>20.544749283260916</v>
      </c>
      <c r="K13">
        <v>23.403566618084028</v>
      </c>
      <c r="L13">
        <v>29.652066880463948</v>
      </c>
      <c r="M13">
        <v>38.69499422538847</v>
      </c>
      <c r="N13">
        <v>50.033102070354133</v>
      </c>
      <c r="O13">
        <v>63.246956393065361</v>
      </c>
      <c r="P13">
        <v>77.98366267822766</v>
      </c>
      <c r="Q13">
        <v>93.94595070624321</v>
      </c>
    </row>
    <row r="14" spans="1:17" x14ac:dyDescent="0.35">
      <c r="A14">
        <v>8</v>
      </c>
      <c r="B14" s="2">
        <f t="shared" ca="1" si="1"/>
        <v>1.7742555286719144</v>
      </c>
      <c r="C14" s="2">
        <v>3.3742555286719145</v>
      </c>
      <c r="D14">
        <f t="shared" si="2"/>
        <v>2.8242240125029427</v>
      </c>
      <c r="E14" s="3">
        <f t="shared" si="3"/>
        <v>0.30253466877913782</v>
      </c>
      <c r="F14" s="1">
        <f t="shared" si="4"/>
        <v>1.8800000000000001</v>
      </c>
      <c r="G14">
        <v>42.701142638710323</v>
      </c>
      <c r="H14">
        <v>29.484110203691184</v>
      </c>
      <c r="I14">
        <v>22.362602612289184</v>
      </c>
      <c r="J14">
        <v>20.299051909261703</v>
      </c>
      <c r="K14">
        <v>22.428581014391309</v>
      </c>
      <c r="L14">
        <v>28.028509548133385</v>
      </c>
      <c r="M14">
        <v>36.493647546482343</v>
      </c>
      <c r="N14">
        <v>47.316197603007524</v>
      </c>
      <c r="O14">
        <v>60.069342832981313</v>
      </c>
      <c r="P14">
        <v>74.393795448657443</v>
      </c>
      <c r="Q14">
        <v>89.986733225436694</v>
      </c>
    </row>
    <row r="15" spans="1:17" x14ac:dyDescent="0.35">
      <c r="A15">
        <v>9</v>
      </c>
      <c r="B15" s="2">
        <f t="shared" ca="1" si="1"/>
        <v>2.4066588291206803</v>
      </c>
      <c r="C15" s="2">
        <v>3.3266588291206802</v>
      </c>
      <c r="D15">
        <f t="shared" si="2"/>
        <v>2.9307860926807856</v>
      </c>
      <c r="E15" s="3">
        <f t="shared" si="3"/>
        <v>0.15671522345641029</v>
      </c>
      <c r="F15" s="1">
        <f t="shared" si="4"/>
        <v>1.8900000000000001</v>
      </c>
      <c r="G15">
        <v>45.437046261157754</v>
      </c>
      <c r="H15">
        <v>31.160400598663408</v>
      </c>
      <c r="I15">
        <v>23.101960811457388</v>
      </c>
      <c r="J15">
        <v>20.2081573754533</v>
      </c>
      <c r="K15">
        <v>21.600477229368892</v>
      </c>
      <c r="L15">
        <v>26.544578862467343</v>
      </c>
      <c r="M15">
        <v>34.425266373317172</v>
      </c>
      <c r="N15">
        <v>44.726128967133825</v>
      </c>
      <c r="O15">
        <v>57.012912216973163</v>
      </c>
      <c r="P15">
        <v>70.91988712502004</v>
      </c>
      <c r="Q15">
        <v>86.138637309283666</v>
      </c>
    </row>
    <row r="16" spans="1:17" x14ac:dyDescent="0.35">
      <c r="A16">
        <v>10</v>
      </c>
      <c r="B16" s="2">
        <f t="shared" ca="1" si="1"/>
        <v>3.3536493952825408</v>
      </c>
      <c r="C16" s="2">
        <v>2.0136493952825409</v>
      </c>
      <c r="D16">
        <f t="shared" si="2"/>
        <v>3.0413689151515757</v>
      </c>
      <c r="E16" s="3">
        <f t="shared" si="3"/>
        <v>1.0562074115198394</v>
      </c>
      <c r="F16" s="1">
        <f t="shared" si="4"/>
        <v>1.9000000000000001</v>
      </c>
      <c r="G16">
        <v>48.356404978813821</v>
      </c>
      <c r="H16">
        <v>33.009677201400272</v>
      </c>
      <c r="I16">
        <v>24.00479144234501</v>
      </c>
      <c r="J16">
        <v>20.27206568183572</v>
      </c>
      <c r="K16">
        <v>20.919255263016822</v>
      </c>
      <c r="L16">
        <v>25.200274823465822</v>
      </c>
      <c r="M16">
        <v>32.489850705892934</v>
      </c>
      <c r="N16">
        <v>42.262896162733099</v>
      </c>
      <c r="O16">
        <v>54.077664545040989</v>
      </c>
      <c r="P16">
        <v>67.561937707315508</v>
      </c>
      <c r="Q16">
        <v>82.401662957784055</v>
      </c>
    </row>
    <row r="17" spans="1:17" x14ac:dyDescent="0.35">
      <c r="A17">
        <v>11</v>
      </c>
      <c r="B17" s="2">
        <f t="shared" ca="1" si="1"/>
        <v>3.4254144370226718</v>
      </c>
      <c r="C17" s="2">
        <v>3.0654144370226719</v>
      </c>
      <c r="D17">
        <f t="shared" si="2"/>
        <v>3.1561241883706983</v>
      </c>
      <c r="E17" s="3">
        <f t="shared" si="3"/>
        <v>8.2282589896207764E-3</v>
      </c>
      <c r="F17" s="1">
        <f t="shared" si="4"/>
        <v>1.9100000000000001</v>
      </c>
      <c r="G17">
        <v>51.459218791678559</v>
      </c>
      <c r="H17">
        <v>35.03194001190176</v>
      </c>
      <c r="I17">
        <v>25.071094504952015</v>
      </c>
      <c r="J17">
        <v>20.49077682840899</v>
      </c>
      <c r="K17">
        <v>20.384915115335037</v>
      </c>
      <c r="L17">
        <v>23.995597431128839</v>
      </c>
      <c r="M17">
        <v>30.687400544209694</v>
      </c>
      <c r="N17">
        <v>39.926499189805277</v>
      </c>
      <c r="O17">
        <v>51.263599817184712</v>
      </c>
      <c r="P17">
        <v>64.319947195543804</v>
      </c>
      <c r="Q17">
        <v>78.775810170937902</v>
      </c>
    </row>
    <row r="18" spans="1:17" x14ac:dyDescent="0.35">
      <c r="A18">
        <v>12</v>
      </c>
      <c r="B18" s="2">
        <f t="shared" ca="1" si="1"/>
        <v>3.1921488043857869</v>
      </c>
      <c r="C18" s="2">
        <v>3.4521488043857871</v>
      </c>
      <c r="D18">
        <f t="shared" si="2"/>
        <v>3.275209344974237</v>
      </c>
      <c r="E18" s="3">
        <f t="shared" si="3"/>
        <v>3.1307572296851584E-2</v>
      </c>
      <c r="F18" s="1">
        <f t="shared" si="4"/>
        <v>1.9200000000000002</v>
      </c>
      <c r="G18">
        <v>54.745487699751941</v>
      </c>
      <c r="H18">
        <v>37.227189030167906</v>
      </c>
      <c r="I18">
        <v>26.300869999278436</v>
      </c>
      <c r="J18">
        <v>20.864290815173067</v>
      </c>
      <c r="K18">
        <v>19.997456786323582</v>
      </c>
      <c r="L18">
        <v>22.930546685456399</v>
      </c>
      <c r="M18">
        <v>29.0179158882674</v>
      </c>
      <c r="N18">
        <v>37.716938048350393</v>
      </c>
      <c r="O18">
        <v>48.570718033404361</v>
      </c>
      <c r="P18">
        <v>61.193915589704957</v>
      </c>
      <c r="Q18">
        <v>75.261078948745222</v>
      </c>
    </row>
    <row r="19" spans="1:17" x14ac:dyDescent="0.35">
      <c r="A19">
        <v>13</v>
      </c>
      <c r="B19" s="2">
        <f t="shared" ca="1" si="1"/>
        <v>3.6240552993977726</v>
      </c>
      <c r="C19" s="2">
        <v>3.794055299397773</v>
      </c>
      <c r="D19">
        <f t="shared" si="2"/>
        <v>3.3987877577606413</v>
      </c>
      <c r="E19" s="3">
        <f t="shared" si="3"/>
        <v>0.15623642947186159</v>
      </c>
      <c r="F19" s="1">
        <f t="shared" si="4"/>
        <v>1.9300000000000002</v>
      </c>
      <c r="G19">
        <v>58.21521170303398</v>
      </c>
      <c r="H19">
        <v>39.595424256198683</v>
      </c>
      <c r="I19">
        <v>27.694117925324225</v>
      </c>
      <c r="J19">
        <v>21.392607642127981</v>
      </c>
      <c r="K19">
        <v>19.75688027598245</v>
      </c>
      <c r="L19">
        <v>22.005122586448479</v>
      </c>
      <c r="M19">
        <v>27.481396738066071</v>
      </c>
      <c r="N19">
        <v>35.634212738368447</v>
      </c>
      <c r="O19">
        <v>45.999019193699958</v>
      </c>
      <c r="P19">
        <v>58.183842889798974</v>
      </c>
      <c r="Q19">
        <v>71.857469291205973</v>
      </c>
    </row>
    <row r="20" spans="1:17" x14ac:dyDescent="0.35">
      <c r="A20">
        <v>14</v>
      </c>
      <c r="B20" s="2">
        <f t="shared" ca="1" si="1"/>
        <v>3.0213450005922025</v>
      </c>
      <c r="C20" s="2">
        <v>3.4913450005922027</v>
      </c>
      <c r="D20">
        <f t="shared" si="2"/>
        <v>3.5270289638216932</v>
      </c>
      <c r="E20" s="3">
        <f t="shared" si="3"/>
        <v>1.2733452317636317E-3</v>
      </c>
      <c r="F20" s="1">
        <f t="shared" si="4"/>
        <v>1.9400000000000002</v>
      </c>
      <c r="G20">
        <v>61.868390801524619</v>
      </c>
      <c r="H20">
        <v>42.136645689994083</v>
      </c>
      <c r="I20">
        <v>29.250838283089433</v>
      </c>
      <c r="J20">
        <v>22.075727309273717</v>
      </c>
      <c r="K20">
        <v>19.663185584311623</v>
      </c>
      <c r="L20">
        <v>21.219325134105109</v>
      </c>
      <c r="M20">
        <v>26.077843093605686</v>
      </c>
      <c r="N20">
        <v>33.678323259859454</v>
      </c>
      <c r="O20">
        <v>43.548503298071459</v>
      </c>
      <c r="P20">
        <v>55.28972909582582</v>
      </c>
      <c r="Q20">
        <v>68.564981198320197</v>
      </c>
    </row>
    <row r="21" spans="1:17" x14ac:dyDescent="0.35">
      <c r="A21">
        <v>15</v>
      </c>
      <c r="B21" s="2">
        <f t="shared" ca="1" si="1"/>
        <v>3.1342376007810175</v>
      </c>
      <c r="C21" s="2">
        <v>4.2642376007810174</v>
      </c>
      <c r="D21">
        <f t="shared" si="2"/>
        <v>3.6601088971302587</v>
      </c>
      <c r="E21" s="3">
        <f t="shared" si="3"/>
        <v>0.36497149057474632</v>
      </c>
      <c r="F21" s="1">
        <f t="shared" si="4"/>
        <v>1.9500000000000002</v>
      </c>
      <c r="G21">
        <v>65.70502499522398</v>
      </c>
      <c r="H21">
        <v>44.850853331554113</v>
      </c>
      <c r="I21">
        <v>30.971031072574018</v>
      </c>
      <c r="J21">
        <v>22.913649816610267</v>
      </c>
      <c r="K21">
        <v>19.716372711311109</v>
      </c>
      <c r="L21">
        <v>20.573154328426259</v>
      </c>
      <c r="M21">
        <v>24.807254954886279</v>
      </c>
      <c r="N21">
        <v>31.849269612823395</v>
      </c>
      <c r="O21">
        <v>41.219170346518908</v>
      </c>
      <c r="P21">
        <v>52.511574207785515</v>
      </c>
      <c r="Q21">
        <v>65.383614670087852</v>
      </c>
    </row>
    <row r="22" spans="1:17" x14ac:dyDescent="0.35">
      <c r="A22">
        <v>16</v>
      </c>
      <c r="B22" s="2">
        <f t="shared" ca="1" si="1"/>
        <v>4.4029617586099032</v>
      </c>
      <c r="C22" s="2">
        <v>2.7929617586099029</v>
      </c>
      <c r="D22">
        <f t="shared" si="2"/>
        <v>3.7982101299039193</v>
      </c>
      <c r="E22" s="3">
        <f t="shared" si="3"/>
        <v>1.0105242879892726</v>
      </c>
      <c r="F22" s="1">
        <f t="shared" si="4"/>
        <v>1.9600000000000002</v>
      </c>
      <c r="G22">
        <v>69.725114284131934</v>
      </c>
      <c r="H22">
        <v>47.738047180878809</v>
      </c>
      <c r="I22">
        <v>32.854696293778012</v>
      </c>
      <c r="J22">
        <v>23.90637516413765</v>
      </c>
      <c r="K22">
        <v>19.916441656980926</v>
      </c>
      <c r="L22">
        <v>20.066610169411941</v>
      </c>
      <c r="M22">
        <v>23.669632321907834</v>
      </c>
      <c r="N22">
        <v>30.147051797260264</v>
      </c>
      <c r="O22">
        <v>39.01102033904229</v>
      </c>
      <c r="P22">
        <v>49.849378225678066</v>
      </c>
      <c r="Q22">
        <v>62.313369706508993</v>
      </c>
    </row>
    <row r="23" spans="1:17" x14ac:dyDescent="0.35">
      <c r="A23">
        <v>17</v>
      </c>
      <c r="B23" s="2">
        <f t="shared" ca="1" si="1"/>
        <v>3.7577554644608955</v>
      </c>
      <c r="C23" s="2">
        <v>4.0477554644608951</v>
      </c>
      <c r="D23">
        <f t="shared" si="2"/>
        <v>3.941522123075599</v>
      </c>
      <c r="E23" s="3">
        <f t="shared" si="3"/>
        <v>1.1285522821884855E-2</v>
      </c>
      <c r="F23" s="1">
        <f t="shared" si="4"/>
        <v>1.9700000000000002</v>
      </c>
      <c r="G23">
        <v>73.928658668248502</v>
      </c>
      <c r="H23">
        <v>50.798227237968113</v>
      </c>
      <c r="I23">
        <v>34.901833946701394</v>
      </c>
      <c r="J23">
        <v>25.053903351855848</v>
      </c>
      <c r="K23">
        <v>20.26339242132104</v>
      </c>
      <c r="L23">
        <v>19.699692657062165</v>
      </c>
      <c r="M23">
        <v>22.664975194670333</v>
      </c>
      <c r="N23">
        <v>28.571669813170065</v>
      </c>
      <c r="O23">
        <v>36.924053275641576</v>
      </c>
      <c r="P23">
        <v>47.303141149503453</v>
      </c>
      <c r="Q23">
        <v>59.354246307583523</v>
      </c>
    </row>
    <row r="24" spans="1:17" x14ac:dyDescent="0.35">
      <c r="A24">
        <v>18</v>
      </c>
      <c r="B24" s="2">
        <f t="shared" ca="1" si="1"/>
        <v>4.288866421287775</v>
      </c>
      <c r="C24" s="2">
        <v>4.0288664212877752</v>
      </c>
      <c r="D24">
        <f t="shared" si="2"/>
        <v>4.0902414862148166</v>
      </c>
      <c r="E24" s="3">
        <f t="shared" si="3"/>
        <v>3.7668985947985571E-3</v>
      </c>
      <c r="F24" s="1">
        <f t="shared" si="4"/>
        <v>1.9800000000000002</v>
      </c>
      <c r="G24">
        <v>78.315658147573828</v>
      </c>
      <c r="H24">
        <v>54.031393502822063</v>
      </c>
      <c r="I24">
        <v>37.112444031344175</v>
      </c>
      <c r="J24">
        <v>26.356234379764896</v>
      </c>
      <c r="K24">
        <v>20.757225004331499</v>
      </c>
      <c r="L24">
        <v>19.472401791376921</v>
      </c>
      <c r="M24">
        <v>21.793283573173802</v>
      </c>
      <c r="N24">
        <v>27.1231236605528</v>
      </c>
      <c r="O24">
        <v>34.95826915631681</v>
      </c>
      <c r="P24">
        <v>44.872862979261676</v>
      </c>
      <c r="Q24">
        <v>56.506244473311554</v>
      </c>
    </row>
    <row r="25" spans="1:17" x14ac:dyDescent="0.35">
      <c r="A25">
        <v>19</v>
      </c>
      <c r="B25" s="2">
        <f t="shared" ca="1" si="1"/>
        <v>4.2165524409936372</v>
      </c>
      <c r="C25" s="2">
        <v>4.226552440993637</v>
      </c>
      <c r="D25">
        <f t="shared" si="2"/>
        <v>4.2445722472561407</v>
      </c>
      <c r="E25" s="3">
        <f t="shared" si="3"/>
        <v>3.2471341773816602E-4</v>
      </c>
      <c r="F25" s="1">
        <f t="shared" si="4"/>
        <v>1.9900000000000002</v>
      </c>
      <c r="G25">
        <v>82.886112722107725</v>
      </c>
      <c r="H25">
        <v>57.437545975440656</v>
      </c>
      <c r="I25">
        <v>39.486526547706319</v>
      </c>
      <c r="J25">
        <v>27.813368247864751</v>
      </c>
      <c r="K25">
        <v>21.397939406012256</v>
      </c>
      <c r="L25">
        <v>19.384737572356201</v>
      </c>
      <c r="M25">
        <v>21.054557457418245</v>
      </c>
      <c r="N25">
        <v>25.80141333940848</v>
      </c>
      <c r="O25">
        <v>33.113667981067948</v>
      </c>
      <c r="P25">
        <v>42.558543714952769</v>
      </c>
      <c r="Q25">
        <v>53.769364203693016</v>
      </c>
    </row>
    <row r="26" spans="1:17" x14ac:dyDescent="0.35">
      <c r="A26">
        <v>20</v>
      </c>
      <c r="B26" s="2">
        <f t="shared" ca="1" si="1"/>
        <v>5.0110818569849354</v>
      </c>
      <c r="C26" s="2">
        <v>5.191081856984936</v>
      </c>
      <c r="D26">
        <f t="shared" si="2"/>
        <v>4.404726132404897</v>
      </c>
      <c r="E26" s="3">
        <f t="shared" si="3"/>
        <v>0.61835532557979811</v>
      </c>
      <c r="F26" s="1">
        <f t="shared" si="4"/>
        <v>2</v>
      </c>
      <c r="G26">
        <v>87.640022391850195</v>
      </c>
      <c r="H26">
        <v>61.016684655823795</v>
      </c>
      <c r="I26">
        <v>42.024081495787861</v>
      </c>
      <c r="J26">
        <v>29.425304956155394</v>
      </c>
      <c r="K26">
        <v>22.185535626363308</v>
      </c>
      <c r="L26">
        <v>19.436700000000005</v>
      </c>
      <c r="M26">
        <v>20.448796847403631</v>
      </c>
      <c r="N26">
        <v>24.606538849737117</v>
      </c>
      <c r="O26">
        <v>31.390249749895073</v>
      </c>
      <c r="P26">
        <v>40.360183356576741</v>
      </c>
      <c r="Q26">
        <v>51.143605498728007</v>
      </c>
    </row>
    <row r="27" spans="1:17" x14ac:dyDescent="0.35">
      <c r="A27">
        <v>21</v>
      </c>
      <c r="B27" s="2">
        <f t="shared" ca="1" si="1"/>
        <v>3.9627339535621831</v>
      </c>
      <c r="C27" s="2">
        <v>4.7727339535621827</v>
      </c>
      <c r="D27">
        <f t="shared" si="2"/>
        <v>4.5709228566041187</v>
      </c>
      <c r="E27" s="3">
        <f t="shared" si="3"/>
        <v>4.0727718855417101E-2</v>
      </c>
      <c r="F27" s="1">
        <f t="shared" si="4"/>
        <v>2.0099999999999998</v>
      </c>
      <c r="G27">
        <v>92.577387156801279</v>
      </c>
      <c r="H27">
        <v>64.768809543971599</v>
      </c>
      <c r="I27">
        <v>44.725108875588759</v>
      </c>
      <c r="J27">
        <v>31.192044504636872</v>
      </c>
      <c r="K27">
        <v>23.120013665384672</v>
      </c>
      <c r="L27">
        <v>19.628289074308356</v>
      </c>
      <c r="M27">
        <v>19.976001743129984</v>
      </c>
      <c r="N27">
        <v>23.538500191538677</v>
      </c>
      <c r="O27">
        <v>29.788014462798117</v>
      </c>
      <c r="P27">
        <v>38.277781904133562</v>
      </c>
      <c r="Q27">
        <v>48.628968358416437</v>
      </c>
    </row>
    <row r="28" spans="1:17" x14ac:dyDescent="0.35">
      <c r="A28">
        <v>22</v>
      </c>
      <c r="B28" s="2">
        <f t="shared" ca="1" si="1"/>
        <v>5.4017994128344196</v>
      </c>
      <c r="C28" s="2">
        <v>5.2217994128344198</v>
      </c>
      <c r="D28">
        <f t="shared" si="2"/>
        <v>4.743390424961242</v>
      </c>
      <c r="E28" s="3">
        <f t="shared" si="3"/>
        <v>0.22887515967783845</v>
      </c>
      <c r="F28" s="1">
        <f t="shared" si="4"/>
        <v>2.0199999999999996</v>
      </c>
      <c r="G28">
        <v>97.698207016961021</v>
      </c>
      <c r="H28">
        <v>68.693920639883984</v>
      </c>
      <c r="I28">
        <v>47.589608687109028</v>
      </c>
      <c r="J28">
        <v>33.113586893309147</v>
      </c>
      <c r="K28">
        <v>24.201373523076356</v>
      </c>
      <c r="L28">
        <v>19.959504795281223</v>
      </c>
      <c r="M28">
        <v>19.636172144597307</v>
      </c>
      <c r="N28">
        <v>22.597297364813183</v>
      </c>
      <c r="O28">
        <v>28.306962119777079</v>
      </c>
      <c r="P28">
        <v>36.311339357623211</v>
      </c>
      <c r="Q28">
        <v>46.225452782758303</v>
      </c>
    </row>
    <row r="29" spans="1:17" x14ac:dyDescent="0.35">
      <c r="A29">
        <v>23</v>
      </c>
      <c r="B29" s="2">
        <f t="shared" ca="1" si="1"/>
        <v>4.7785807798725957</v>
      </c>
      <c r="C29" s="2">
        <v>4.2785807798725957</v>
      </c>
      <c r="D29">
        <f t="shared" si="2"/>
        <v>4.9223654455480723</v>
      </c>
      <c r="E29" s="3">
        <f t="shared" si="3"/>
        <v>0.41445869575888522</v>
      </c>
      <c r="F29" s="1">
        <f t="shared" si="4"/>
        <v>2.0299999999999994</v>
      </c>
      <c r="G29">
        <v>103.00248197232939</v>
      </c>
      <c r="H29">
        <v>72.792017943560992</v>
      </c>
      <c r="I29">
        <v>50.61758093034873</v>
      </c>
      <c r="J29">
        <v>35.189932122172245</v>
      </c>
      <c r="K29">
        <v>25.429615199438327</v>
      </c>
      <c r="L29">
        <v>20.430347162918626</v>
      </c>
      <c r="M29">
        <v>19.429308051805563</v>
      </c>
      <c r="N29">
        <v>21.78293036956061</v>
      </c>
      <c r="O29">
        <v>26.947092720831964</v>
      </c>
      <c r="P29">
        <v>34.460855717045717</v>
      </c>
      <c r="Q29">
        <v>43.933058771753629</v>
      </c>
    </row>
    <row r="30" spans="1:17" x14ac:dyDescent="0.35">
      <c r="A30">
        <v>24</v>
      </c>
      <c r="B30" s="2">
        <f t="shared" ca="1" si="1"/>
        <v>6.0333929468462362</v>
      </c>
      <c r="C30" s="2">
        <v>4.4833929468462355</v>
      </c>
      <c r="D30">
        <f t="shared" si="2"/>
        <v>5.108093454003134</v>
      </c>
      <c r="E30" s="3">
        <f t="shared" si="3"/>
        <v>0.39025072364208618</v>
      </c>
      <c r="F30" s="1">
        <f t="shared" si="4"/>
        <v>2.0399999999999991</v>
      </c>
      <c r="G30">
        <v>108.49021202290641</v>
      </c>
      <c r="H30">
        <v>77.06310145500268</v>
      </c>
      <c r="I30">
        <v>53.809025605307809</v>
      </c>
      <c r="J30">
        <v>37.421080191226181</v>
      </c>
      <c r="K30">
        <v>26.804738694470643</v>
      </c>
      <c r="L30">
        <v>21.040816177220542</v>
      </c>
      <c r="M30">
        <v>19.355409464754793</v>
      </c>
      <c r="N30">
        <v>21.095399205780968</v>
      </c>
      <c r="O30">
        <v>25.708406265962768</v>
      </c>
      <c r="P30">
        <v>32.726330982401059</v>
      </c>
      <c r="Q30">
        <v>41.751786325402385</v>
      </c>
    </row>
    <row r="31" spans="1:17" x14ac:dyDescent="0.35">
      <c r="A31">
        <v>25</v>
      </c>
      <c r="B31" s="2">
        <f t="shared" ca="1" si="1"/>
        <v>4.9265636569180904</v>
      </c>
      <c r="C31" s="2">
        <v>6.3765636569180906</v>
      </c>
      <c r="D31">
        <f t="shared" si="2"/>
        <v>5.3008292503817609</v>
      </c>
      <c r="E31" s="3">
        <f t="shared" si="3"/>
        <v>1.1572045134060693</v>
      </c>
      <c r="F31" s="1">
        <f t="shared" si="4"/>
        <v>2.0499999999999989</v>
      </c>
      <c r="G31">
        <v>114.16139716869209</v>
      </c>
      <c r="H31">
        <v>81.507171174208949</v>
      </c>
      <c r="I31">
        <v>57.163942711986245</v>
      </c>
      <c r="J31">
        <v>39.807031100470901</v>
      </c>
      <c r="K31">
        <v>28.326744008173229</v>
      </c>
      <c r="L31">
        <v>21.790911838186986</v>
      </c>
      <c r="M31">
        <v>19.414476383444974</v>
      </c>
      <c r="N31">
        <v>20.534703873474253</v>
      </c>
      <c r="O31">
        <v>24.590902755169502</v>
      </c>
      <c r="P31">
        <v>31.107765153689254</v>
      </c>
      <c r="Q31">
        <v>39.681635443704607</v>
      </c>
    </row>
    <row r="32" spans="1:17" x14ac:dyDescent="0.35">
      <c r="A32">
        <v>26</v>
      </c>
      <c r="B32" s="2">
        <f t="shared" ca="1" si="1"/>
        <v>5.6584340287031196</v>
      </c>
      <c r="C32" s="2">
        <v>5.2684340287031199</v>
      </c>
      <c r="D32">
        <f t="shared" si="2"/>
        <v>5.5008372487160102</v>
      </c>
      <c r="E32" s="3">
        <f t="shared" si="3"/>
        <v>5.4011256672359877E-2</v>
      </c>
      <c r="F32" s="1">
        <f t="shared" si="4"/>
        <v>2.0599999999999987</v>
      </c>
      <c r="G32">
        <v>120.01603740968636</v>
      </c>
      <c r="H32">
        <v>86.124227101179841</v>
      </c>
      <c r="I32">
        <v>60.682332250384071</v>
      </c>
      <c r="J32">
        <v>42.347784849906482</v>
      </c>
      <c r="K32">
        <v>29.995631140546145</v>
      </c>
      <c r="L32">
        <v>22.680634145817962</v>
      </c>
      <c r="M32">
        <v>19.606508807876089</v>
      </c>
      <c r="N32">
        <v>20.100844372640484</v>
      </c>
      <c r="O32">
        <v>23.594582188452158</v>
      </c>
      <c r="P32">
        <v>29.605158230910273</v>
      </c>
      <c r="Q32">
        <v>37.722606126660274</v>
      </c>
    </row>
    <row r="33" spans="1:30" x14ac:dyDescent="0.35">
      <c r="A33">
        <v>27</v>
      </c>
      <c r="B33" s="2">
        <f t="shared" ca="1" si="1"/>
        <v>6.0593591021310482</v>
      </c>
      <c r="C33" s="2">
        <v>6.529359102131048</v>
      </c>
      <c r="D33">
        <f t="shared" si="2"/>
        <v>5.7083918397639914</v>
      </c>
      <c r="E33" s="3">
        <f t="shared" si="3"/>
        <v>0.67398724587845937</v>
      </c>
      <c r="F33" s="1">
        <f t="shared" si="4"/>
        <v>2.0699999999999985</v>
      </c>
      <c r="G33">
        <v>126.05413274588935</v>
      </c>
      <c r="H33">
        <v>90.914269235915413</v>
      </c>
      <c r="I33">
        <v>64.364194220501332</v>
      </c>
      <c r="J33">
        <v>45.043341439532831</v>
      </c>
      <c r="K33">
        <v>31.811400091589363</v>
      </c>
      <c r="L33">
        <v>23.709983100113465</v>
      </c>
      <c r="M33">
        <v>19.931506738048189</v>
      </c>
      <c r="N33">
        <v>19.793820703279621</v>
      </c>
      <c r="O33">
        <v>22.719444565810729</v>
      </c>
      <c r="P33">
        <v>28.218510214064146</v>
      </c>
      <c r="Q33">
        <v>35.874698374269393</v>
      </c>
    </row>
    <row r="34" spans="1:30" x14ac:dyDescent="0.35">
      <c r="A34">
        <v>28</v>
      </c>
      <c r="B34" s="2">
        <f t="shared" ca="1" si="1"/>
        <v>5.3897084065860046</v>
      </c>
      <c r="C34" s="2">
        <v>5.7597084065860047</v>
      </c>
      <c r="D34">
        <f t="shared" si="2"/>
        <v>5.9237777674462571</v>
      </c>
      <c r="E34" s="3">
        <f t="shared" si="3"/>
        <v>2.691875517309171E-2</v>
      </c>
      <c r="F34" s="1">
        <f t="shared" si="4"/>
        <v>2.0799999999999983</v>
      </c>
      <c r="G34">
        <v>132.27568317730086</v>
      </c>
      <c r="H34">
        <v>95.877297578415593</v>
      </c>
      <c r="I34">
        <v>68.209528622337942</v>
      </c>
      <c r="J34">
        <v>47.893700869350027</v>
      </c>
      <c r="K34">
        <v>33.774050861302896</v>
      </c>
      <c r="L34">
        <v>24.878958701073493</v>
      </c>
      <c r="M34">
        <v>20.389470173961229</v>
      </c>
      <c r="N34">
        <v>19.613632865391715</v>
      </c>
      <c r="O34">
        <v>21.965489887245226</v>
      </c>
      <c r="P34">
        <v>26.947821103150858</v>
      </c>
      <c r="Q34">
        <v>34.137912186531949</v>
      </c>
      <c r="AD34" s="1"/>
    </row>
    <row r="35" spans="1:30" x14ac:dyDescent="0.35">
      <c r="A35">
        <v>29</v>
      </c>
      <c r="B35" s="2">
        <f t="shared" ca="1" si="1"/>
        <v>6.2198665522323688</v>
      </c>
      <c r="C35" s="2">
        <v>6.169866552232369</v>
      </c>
      <c r="D35">
        <f t="shared" si="2"/>
        <v>6.1472905194856713</v>
      </c>
      <c r="E35" s="3">
        <f t="shared" si="3"/>
        <v>5.0967725457996816E-4</v>
      </c>
      <c r="F35" s="1">
        <f t="shared" si="4"/>
        <v>2.0899999999999981</v>
      </c>
      <c r="G35">
        <v>138.68068870392111</v>
      </c>
      <c r="H35">
        <v>101.01331212868035</v>
      </c>
      <c r="I35">
        <v>72.218335455893921</v>
      </c>
      <c r="J35">
        <v>50.898863139358056</v>
      </c>
      <c r="K35">
        <v>35.883583449686753</v>
      </c>
      <c r="L35">
        <v>26.18756094869806</v>
      </c>
      <c r="M35">
        <v>20.980399115615214</v>
      </c>
      <c r="N35">
        <v>19.560280858976729</v>
      </c>
      <c r="O35">
        <v>21.332718152755646</v>
      </c>
      <c r="P35">
        <v>25.793090898170405</v>
      </c>
      <c r="Q35">
        <v>32.51224756344795</v>
      </c>
    </row>
    <row r="36" spans="1:30" x14ac:dyDescent="0.35">
      <c r="A36">
        <v>30</v>
      </c>
      <c r="B36" s="2">
        <f t="shared" ca="1" si="1"/>
        <v>7.4702338454730945</v>
      </c>
      <c r="C36" s="2">
        <v>5.7402338454730941</v>
      </c>
      <c r="D36">
        <f t="shared" si="2"/>
        <v>6.3792367327867101</v>
      </c>
      <c r="E36" s="3">
        <f t="shared" si="3"/>
        <v>0.40832468999513782</v>
      </c>
      <c r="F36" s="1">
        <f t="shared" si="4"/>
        <v>2.0999999999999979</v>
      </c>
      <c r="G36">
        <v>145.26914932574999</v>
      </c>
      <c r="H36">
        <v>106.32231288670982</v>
      </c>
      <c r="I36">
        <v>76.390614721169314</v>
      </c>
      <c r="J36">
        <v>54.058828249556896</v>
      </c>
      <c r="K36">
        <v>38.139997856740884</v>
      </c>
      <c r="L36">
        <v>27.635789842987123</v>
      </c>
      <c r="M36">
        <v>21.704293563010172</v>
      </c>
      <c r="N36">
        <v>19.633764684034666</v>
      </c>
      <c r="O36">
        <v>20.821129362341981</v>
      </c>
      <c r="P36">
        <v>24.754319599122805</v>
      </c>
      <c r="Q36">
        <v>30.997704505017406</v>
      </c>
    </row>
    <row r="37" spans="1:30" x14ac:dyDescent="0.35">
      <c r="A37">
        <v>31</v>
      </c>
      <c r="B37" s="2">
        <f t="shared" ca="1" si="1"/>
        <v>7.4012269295253512</v>
      </c>
      <c r="C37" s="2">
        <v>7.7612269295253506</v>
      </c>
      <c r="D37">
        <f t="shared" si="2"/>
        <v>6.6199346141102975</v>
      </c>
      <c r="E37" s="3">
        <f t="shared" si="3"/>
        <v>1.3025481492254531</v>
      </c>
      <c r="F37" s="5"/>
    </row>
    <row r="38" spans="1:30" x14ac:dyDescent="0.35">
      <c r="A38">
        <v>32</v>
      </c>
      <c r="B38" s="2">
        <f t="shared" ref="B38:B56" ca="1" si="5">RANDBETWEEN(-RandFac,RandFac)/100+2*EXP(A38/25)</f>
        <v>6.4732794511385636</v>
      </c>
      <c r="C38" s="2">
        <v>7.0232794511385634</v>
      </c>
      <c r="D38">
        <f t="shared" ref="D38:D56" si="6">Prefactor*EXP(A38/Lambda)</f>
        <v>6.8697143766213147</v>
      </c>
      <c r="E38" s="3">
        <f t="shared" si="3"/>
        <v>2.3582232111488168E-2</v>
      </c>
      <c r="F38" s="5"/>
    </row>
    <row r="39" spans="1:30" x14ac:dyDescent="0.35">
      <c r="A39">
        <v>33</v>
      </c>
      <c r="B39" s="2">
        <f t="shared" ca="1" si="5"/>
        <v>7.3068427545217256</v>
      </c>
      <c r="C39" s="2">
        <v>6.4968427545217251</v>
      </c>
      <c r="D39">
        <f t="shared" si="6"/>
        <v>7.1289186929076935</v>
      </c>
      <c r="E39" s="3">
        <f t="shared" si="3"/>
        <v>0.39951999188650256</v>
      </c>
      <c r="F39" s="5"/>
    </row>
    <row r="40" spans="1:30" x14ac:dyDescent="0.35">
      <c r="A40">
        <v>34</v>
      </c>
      <c r="B40" s="2">
        <f t="shared" ca="1" si="5"/>
        <v>7.3323866035904297</v>
      </c>
      <c r="C40" s="2">
        <v>7.4323866035904294</v>
      </c>
      <c r="D40">
        <f t="shared" si="6"/>
        <v>7.3979031650925684</v>
      </c>
      <c r="E40" s="3">
        <f t="shared" si="3"/>
        <v>1.1891075306357589E-3</v>
      </c>
      <c r="F40" s="5"/>
    </row>
    <row r="41" spans="1:30" x14ac:dyDescent="0.35">
      <c r="A41">
        <v>35</v>
      </c>
      <c r="B41" s="2">
        <f t="shared" ca="1" si="5"/>
        <v>8.7703999336893492</v>
      </c>
      <c r="C41" s="2">
        <v>7.1503999336893491</v>
      </c>
      <c r="D41">
        <f t="shared" si="6"/>
        <v>7.6770368126844444</v>
      </c>
      <c r="E41" s="3">
        <f t="shared" si="3"/>
        <v>0.27734640231769458</v>
      </c>
      <c r="F41" s="5"/>
    </row>
    <row r="42" spans="1:30" x14ac:dyDescent="0.35">
      <c r="A42">
        <v>36</v>
      </c>
      <c r="B42" s="2">
        <f t="shared" ca="1" si="5"/>
        <v>8.671391633993105</v>
      </c>
      <c r="C42" s="2">
        <v>8.801391633993104</v>
      </c>
      <c r="D42">
        <f t="shared" si="6"/>
        <v>7.9667025788346697</v>
      </c>
      <c r="E42" s="3">
        <f t="shared" si="3"/>
        <v>0.6967058188012798</v>
      </c>
      <c r="F42" s="5"/>
    </row>
    <row r="43" spans="1:30" x14ac:dyDescent="0.35">
      <c r="A43">
        <v>37</v>
      </c>
      <c r="B43" s="2">
        <f t="shared" ca="1" si="5"/>
        <v>9.1258913618375139</v>
      </c>
      <c r="C43" s="2">
        <v>9.7758913618375143</v>
      </c>
      <c r="D43">
        <f t="shared" si="6"/>
        <v>8.267297855696734</v>
      </c>
      <c r="E43" s="3">
        <f t="shared" si="3"/>
        <v>2.2758543667701323</v>
      </c>
      <c r="F43" s="5"/>
    </row>
    <row r="44" spans="1:30" x14ac:dyDescent="0.35">
      <c r="A44">
        <v>38</v>
      </c>
      <c r="B44" s="2">
        <f t="shared" ca="1" si="5"/>
        <v>9.0444503902843181</v>
      </c>
      <c r="C44" s="2">
        <v>9.2844503902843183</v>
      </c>
      <c r="D44">
        <f t="shared" si="6"/>
        <v>8.5792350296081263</v>
      </c>
      <c r="E44" s="3">
        <f t="shared" si="3"/>
        <v>0.4973287049336515</v>
      </c>
      <c r="F44" s="5"/>
    </row>
    <row r="45" spans="1:30" x14ac:dyDescent="0.35">
      <c r="A45">
        <v>39</v>
      </c>
      <c r="B45" s="2">
        <f t="shared" ca="1" si="5"/>
        <v>10.337642490275709</v>
      </c>
      <c r="C45" s="2">
        <v>10.167642490275709</v>
      </c>
      <c r="D45">
        <f t="shared" si="6"/>
        <v>8.9029420468427265</v>
      </c>
      <c r="E45" s="3">
        <f t="shared" si="3"/>
        <v>1.5994672116195821</v>
      </c>
      <c r="F45" s="5"/>
    </row>
    <row r="46" spans="1:30" x14ac:dyDescent="0.35">
      <c r="A46">
        <v>40</v>
      </c>
      <c r="B46" s="2">
        <f t="shared" ca="1" si="5"/>
        <v>10.856064848790229</v>
      </c>
      <c r="C46" s="2">
        <v>9.1460648487902301</v>
      </c>
      <c r="D46">
        <f t="shared" si="6"/>
        <v>9.23886300070982</v>
      </c>
      <c r="E46" s="3">
        <f t="shared" si="3"/>
        <v>8.6114969996912965E-3</v>
      </c>
      <c r="F46" s="5"/>
    </row>
    <row r="47" spans="1:30" x14ac:dyDescent="0.35">
      <c r="A47">
        <v>41</v>
      </c>
      <c r="B47" s="2">
        <f t="shared" ca="1" si="5"/>
        <v>10.800339024469361</v>
      </c>
      <c r="C47" s="2">
        <v>9.460339024469361</v>
      </c>
      <c r="D47">
        <f t="shared" si="6"/>
        <v>9.5874587408052481</v>
      </c>
      <c r="E47" s="3">
        <f t="shared" si="3"/>
        <v>1.6159422281316387E-2</v>
      </c>
      <c r="F47" s="5"/>
    </row>
    <row r="48" spans="1:30" x14ac:dyDescent="0.35">
      <c r="A48">
        <v>42</v>
      </c>
      <c r="B48" s="2">
        <f t="shared" ca="1" si="5"/>
        <v>11.151111942243949</v>
      </c>
      <c r="C48" s="2">
        <v>10.621111942243949</v>
      </c>
      <c r="D48">
        <f t="shared" si="6"/>
        <v>9.9492075052504667</v>
      </c>
      <c r="E48" s="3">
        <f t="shared" si="3"/>
        <v>0.45145557245152906</v>
      </c>
      <c r="F48" s="5"/>
    </row>
    <row r="49" spans="1:6" x14ac:dyDescent="0.35">
      <c r="A49">
        <v>43</v>
      </c>
      <c r="B49" s="2">
        <f t="shared" ca="1" si="5"/>
        <v>11.099056928552107</v>
      </c>
      <c r="C49" s="2">
        <v>10.689056928552107</v>
      </c>
      <c r="D49">
        <f t="shared" si="6"/>
        <v>10.324605576786899</v>
      </c>
      <c r="E49" s="3">
        <f t="shared" si="3"/>
        <v>0.13282478780348733</v>
      </c>
      <c r="F49" s="5"/>
    </row>
    <row r="50" spans="1:6" x14ac:dyDescent="0.35">
      <c r="A50">
        <v>44</v>
      </c>
      <c r="B50" s="2">
        <f t="shared" ca="1" si="5"/>
        <v>12.534874788805178</v>
      </c>
      <c r="C50" s="2">
        <v>10.774874788805178</v>
      </c>
      <c r="D50">
        <f t="shared" si="6"/>
        <v>10.714167963625723</v>
      </c>
      <c r="E50" s="3">
        <f t="shared" si="3"/>
        <v>3.6853186233689285E-3</v>
      </c>
      <c r="F50" s="5"/>
    </row>
    <row r="51" spans="1:6" x14ac:dyDescent="0.35">
      <c r="A51">
        <v>45</v>
      </c>
      <c r="B51" s="2">
        <f t="shared" ca="1" si="5"/>
        <v>11.609294928825893</v>
      </c>
      <c r="C51" s="2">
        <v>13.089294928825893</v>
      </c>
      <c r="D51">
        <f t="shared" si="6"/>
        <v>11.11842910598706</v>
      </c>
      <c r="E51" s="3">
        <f t="shared" si="3"/>
        <v>3.8843120916341918</v>
      </c>
      <c r="F51" s="5"/>
    </row>
    <row r="52" spans="1:6" x14ac:dyDescent="0.35">
      <c r="A52">
        <v>46</v>
      </c>
      <c r="B52" s="2">
        <f t="shared" ca="1" si="5"/>
        <v>12.073076522053315</v>
      </c>
      <c r="C52" s="2">
        <v>12.203076522053314</v>
      </c>
      <c r="D52">
        <f t="shared" si="6"/>
        <v>11.537943609297947</v>
      </c>
      <c r="E52" s="3">
        <f t="shared" si="3"/>
        <v>0.44240179163043764</v>
      </c>
      <c r="F52" s="5"/>
    </row>
    <row r="53" spans="1:6" x14ac:dyDescent="0.35">
      <c r="A53">
        <v>47</v>
      </c>
      <c r="B53" s="2">
        <f t="shared" ca="1" si="5"/>
        <v>13.547009724382296</v>
      </c>
      <c r="C53" s="2">
        <v>13.767009724382296</v>
      </c>
      <c r="D53">
        <f t="shared" si="6"/>
        <v>11.973287005054926</v>
      </c>
      <c r="E53" s="3">
        <f t="shared" si="3"/>
        <v>3.2174411938311747</v>
      </c>
      <c r="F53" s="5"/>
    </row>
    <row r="54" spans="1:6" x14ac:dyDescent="0.35">
      <c r="A54">
        <v>48</v>
      </c>
      <c r="B54" s="2">
        <f t="shared" ca="1" si="5"/>
        <v>13.091916938581498</v>
      </c>
      <c r="C54" s="2">
        <v>13.741916938581499</v>
      </c>
      <c r="D54">
        <f t="shared" si="6"/>
        <v>12.425056540395092</v>
      </c>
      <c r="E54" s="3">
        <f t="shared" si="3"/>
        <v>1.7341213083116616</v>
      </c>
      <c r="F54" s="5"/>
    </row>
    <row r="55" spans="1:6" x14ac:dyDescent="0.35">
      <c r="A55">
        <v>49</v>
      </c>
      <c r="B55" s="2">
        <f t="shared" ca="1" si="5"/>
        <v>14.588654130313266</v>
      </c>
      <c r="C55" s="2">
        <v>14.268654130313266</v>
      </c>
      <c r="D55">
        <f t="shared" si="6"/>
        <v>12.893871997458781</v>
      </c>
      <c r="E55" s="3">
        <f t="shared" si="3"/>
        <v>1.8900259128159254</v>
      </c>
      <c r="F55" s="5"/>
    </row>
    <row r="56" spans="1:6" x14ac:dyDescent="0.35">
      <c r="A56">
        <v>50</v>
      </c>
      <c r="B56" s="2">
        <f t="shared" ca="1" si="5"/>
        <v>14.958112197861301</v>
      </c>
      <c r="C56" s="2">
        <v>14.588112197861301</v>
      </c>
      <c r="D56">
        <f t="shared" si="6"/>
        <v>13.380376543668042</v>
      </c>
      <c r="E56" s="3">
        <f t="shared" si="3"/>
        <v>1.4586254104096197</v>
      </c>
      <c r="F56" s="5"/>
    </row>
    <row r="57" spans="1:6" x14ac:dyDescent="0.35">
      <c r="F57" s="5"/>
    </row>
    <row r="58" spans="1:6" x14ac:dyDescent="0.35">
      <c r="F58" s="5"/>
    </row>
    <row r="59" spans="1:6" x14ac:dyDescent="0.35">
      <c r="F59" s="5"/>
    </row>
    <row r="60" spans="1:6" x14ac:dyDescent="0.35">
      <c r="F60" s="5"/>
    </row>
    <row r="61" spans="1:6" x14ac:dyDescent="0.35">
      <c r="F61" s="5"/>
    </row>
    <row r="62" spans="1:6" x14ac:dyDescent="0.35">
      <c r="F62" s="5"/>
    </row>
    <row r="63" spans="1:6" x14ac:dyDescent="0.35">
      <c r="F63" s="5"/>
    </row>
    <row r="64" spans="1:6" x14ac:dyDescent="0.35">
      <c r="F64" s="5"/>
    </row>
    <row r="65" spans="6:6" x14ac:dyDescent="0.35">
      <c r="F65" s="5"/>
    </row>
    <row r="66" spans="6:6" x14ac:dyDescent="0.35">
      <c r="F66" s="5"/>
    </row>
  </sheetData>
  <conditionalFormatting sqref="G6:Q36">
    <cfRule type="colorScale" priority="2">
      <colorScale>
        <cfvo type="percentile" val="1"/>
        <cfvo type="percentile" val="10"/>
        <cfvo type="percentile" val="50"/>
        <color rgb="FF00B050"/>
        <color rgb="FFFFEB84"/>
        <color rgb="FFFF0000"/>
      </colorScale>
    </cfRule>
    <cfRule type="top10" dxfId="0" priority="1" bottom="1" rank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5" r:id="rId3" name="Button 1781">
              <controlPr defaultSize="0" print="0" autoFill="0" autoPict="0" macro="[0]!Macro1">
                <anchor moveWithCells="1" sizeWithCells="1">
                  <from>
                    <xdr:col>5</xdr:col>
                    <xdr:colOff>88900</xdr:colOff>
                    <xdr:row>0</xdr:row>
                    <xdr:rowOff>50800</xdr:rowOff>
                  </from>
                  <to>
                    <xdr:col>6</xdr:col>
                    <xdr:colOff>114300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Lambda</vt:lpstr>
      <vt:lpstr>Objective</vt:lpstr>
      <vt:lpstr>Prefactor</vt:lpstr>
      <vt:lpstr>RandFac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Jim Smay</cp:lastModifiedBy>
  <dcterms:created xsi:type="dcterms:W3CDTF">2020-04-13T13:22:53Z</dcterms:created>
  <dcterms:modified xsi:type="dcterms:W3CDTF">2021-04-19T21:14:52Z</dcterms:modified>
</cp:coreProperties>
</file>